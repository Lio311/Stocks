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ailtauacil-my.sharepoint.com/personal/liortsafrir_mail_tau_ac_il/Documents/Desktop/"/>
    </mc:Choice>
  </mc:AlternateContent>
  <xr:revisionPtr revIDLastSave="1055" documentId="13_ncr:1_{9F5F5684-FACD-45AB-A89B-D14F63A74975}" xr6:coauthVersionLast="47" xr6:coauthVersionMax="47" xr10:uidLastSave="{788668BC-DDD7-490D-A168-A5D4F0AE70C3}"/>
  <bookViews>
    <workbookView xWindow="-108" yWindow="-108" windowWidth="23256" windowHeight="12456" xr2:uid="{4BA4607F-9C70-44F5-8607-E92B471B476B}"/>
  </bookViews>
  <sheets>
    <sheet name="גיליון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1" l="1"/>
  <c r="Q5" i="1"/>
  <c r="M55" i="1"/>
  <c r="L55" i="1" a="1"/>
  <c r="L55" i="1" s="1"/>
  <c r="J55" i="1" a="1"/>
  <c r="J55" i="1" s="1"/>
  <c r="U5" i="1"/>
  <c r="M61" i="1" s="1"/>
  <c r="C25" i="1" s="1"/>
  <c r="M36" i="1"/>
  <c r="M44" i="1"/>
  <c r="M37" i="1"/>
  <c r="L53" i="1" a="1"/>
  <c r="L53" i="1" s="1"/>
  <c r="J53" i="1" a="1"/>
  <c r="J53" i="1" s="1"/>
  <c r="J61" i="1" a="1"/>
  <c r="J61" i="1" s="1"/>
  <c r="L42" i="1" a="1"/>
  <c r="L42" i="1" s="1"/>
  <c r="J42" i="1" a="1"/>
  <c r="J42" i="1" s="1"/>
  <c r="J37" i="1" a="1"/>
  <c r="J37" i="1" s="1"/>
  <c r="L11" i="1" a="1"/>
  <c r="L11" i="1" s="1"/>
  <c r="R10" i="1"/>
  <c r="D4" i="1" a="1"/>
  <c r="D4" i="1" s="1"/>
  <c r="D5" i="1" a="1"/>
  <c r="D5" i="1" s="1"/>
  <c r="E4" i="1" a="1"/>
  <c r="E4" i="1" s="1"/>
  <c r="B4" i="1" s="1"/>
  <c r="E5" i="1" a="1"/>
  <c r="E5" i="1" s="1"/>
  <c r="B5" i="1" s="1"/>
  <c r="D14" i="1" a="1"/>
  <c r="D14" i="1" s="1"/>
  <c r="E14" i="1" a="1"/>
  <c r="E14" i="1" s="1"/>
  <c r="B14" i="1" s="1"/>
  <c r="L38" i="1" a="1"/>
  <c r="L38" i="1" s="1"/>
  <c r="L37" i="1" a="1"/>
  <c r="L37" i="1" s="1"/>
  <c r="L36" i="1" a="1"/>
  <c r="L36" i="1" s="1"/>
  <c r="L35" i="1" a="1"/>
  <c r="L35" i="1" s="1"/>
  <c r="H35" i="1" s="1"/>
  <c r="L30" i="1" a="1"/>
  <c r="L30" i="1" s="1"/>
  <c r="L29" i="1" a="1"/>
  <c r="L29" i="1" s="1"/>
  <c r="L28" i="1" a="1"/>
  <c r="L28" i="1" s="1"/>
  <c r="L27" i="1" a="1"/>
  <c r="L27" i="1" s="1"/>
  <c r="L26" i="1" a="1"/>
  <c r="L26" i="1" s="1"/>
  <c r="L25" i="1" a="1"/>
  <c r="L25" i="1" s="1"/>
  <c r="L24" i="1" a="1"/>
  <c r="L24" i="1" s="1"/>
  <c r="L19" i="1" a="1"/>
  <c r="L19" i="1" s="1"/>
  <c r="L18" i="1" a="1"/>
  <c r="L18" i="1" s="1"/>
  <c r="L17" i="1" a="1"/>
  <c r="L17" i="1" s="1"/>
  <c r="L12" i="1" a="1"/>
  <c r="L12" i="1" s="1"/>
  <c r="L39" i="1" a="1"/>
  <c r="L39" i="1" s="1"/>
  <c r="L40" i="1" a="1"/>
  <c r="L40" i="1" s="1"/>
  <c r="L41" i="1" a="1"/>
  <c r="L41" i="1" s="1"/>
  <c r="L43" i="1" a="1"/>
  <c r="L43" i="1" s="1"/>
  <c r="L44" i="1" a="1"/>
  <c r="L44" i="1" s="1"/>
  <c r="L54" i="1" a="1"/>
  <c r="L54" i="1" s="1"/>
  <c r="J54" i="1" a="1"/>
  <c r="J54" i="1" s="1"/>
  <c r="J44" i="1" a="1"/>
  <c r="J44" i="1" s="1"/>
  <c r="J43" i="1" a="1"/>
  <c r="J43" i="1" s="1"/>
  <c r="J19" i="1" a="1"/>
  <c r="J19" i="1" s="1"/>
  <c r="D6" i="1" a="1"/>
  <c r="D6" i="1" s="1"/>
  <c r="E6" i="1" a="1"/>
  <c r="E6" i="1" s="1"/>
  <c r="B6" i="1" s="1"/>
  <c r="J38" i="1" a="1"/>
  <c r="J38" i="1" s="1"/>
  <c r="J40" i="1" a="1"/>
  <c r="J40" i="1" s="1"/>
  <c r="J41" i="1" a="1"/>
  <c r="J41" i="1" s="1"/>
  <c r="L62" i="1" a="1"/>
  <c r="L62" i="1" s="1"/>
  <c r="D16" i="1" a="1"/>
  <c r="D16" i="1" s="1"/>
  <c r="E16" i="1" a="1"/>
  <c r="E16" i="1" s="1"/>
  <c r="B16" i="1" s="1"/>
  <c r="D15" i="1" a="1"/>
  <c r="D15" i="1" s="1"/>
  <c r="E15" i="1" a="1"/>
  <c r="E15" i="1" s="1"/>
  <c r="B15" i="1" s="1"/>
  <c r="D7" i="1" a="1"/>
  <c r="D7" i="1" s="1"/>
  <c r="E7" i="1" a="1"/>
  <c r="E7" i="1" s="1"/>
  <c r="B7" i="1" s="1"/>
  <c r="D11" i="1" a="1"/>
  <c r="D11" i="1" s="1"/>
  <c r="E11" i="1" a="1"/>
  <c r="E11" i="1" s="1"/>
  <c r="B11" i="1" s="1"/>
  <c r="D12" i="1" a="1"/>
  <c r="D12" i="1" s="1"/>
  <c r="E12" i="1" a="1"/>
  <c r="E12" i="1" s="1"/>
  <c r="B12" i="1" s="1"/>
  <c r="D13" i="1" a="1"/>
  <c r="D13" i="1" s="1"/>
  <c r="E13" i="1" a="1"/>
  <c r="E13" i="1" s="1"/>
  <c r="B13" i="1" s="1"/>
  <c r="D10" i="1" a="1"/>
  <c r="D10" i="1" s="1"/>
  <c r="E10" i="1" a="1"/>
  <c r="E10" i="1" s="1"/>
  <c r="B10" i="1" s="1"/>
  <c r="J11" i="1" a="1"/>
  <c r="J11" i="1" s="1"/>
  <c r="J10" i="1" a="1"/>
  <c r="J10" i="1" s="1"/>
  <c r="L2" i="1" a="1"/>
  <c r="L2" i="1" s="1"/>
  <c r="M2" i="1" a="1"/>
  <c r="M2" i="1" s="1"/>
  <c r="Q2" i="1" a="1"/>
  <c r="Q2" i="1" s="1"/>
  <c r="R2" i="1" a="1"/>
  <c r="R2" i="1" s="1"/>
  <c r="E9" i="1" a="1"/>
  <c r="E9" i="1" s="1"/>
  <c r="B9" i="1" s="1"/>
  <c r="D9" i="1" a="1"/>
  <c r="D9" i="1" s="1"/>
  <c r="E8" i="1" a="1"/>
  <c r="E8" i="1" s="1"/>
  <c r="B8" i="1" s="1"/>
  <c r="D8" i="1" a="1"/>
  <c r="D8" i="1" s="1"/>
  <c r="J62" i="1" a="1"/>
  <c r="J62" i="1" s="1"/>
  <c r="J50" i="1" a="1"/>
  <c r="J50" i="1" s="1"/>
  <c r="L50" i="1" a="1"/>
  <c r="L50" i="1" s="1"/>
  <c r="J51" i="1" a="1"/>
  <c r="J51" i="1" s="1"/>
  <c r="L51" i="1" a="1"/>
  <c r="L51" i="1" s="1"/>
  <c r="J52" i="1" a="1"/>
  <c r="J52" i="1" s="1"/>
  <c r="L52" i="1" a="1"/>
  <c r="L52" i="1" s="1"/>
  <c r="J60" i="1" a="1"/>
  <c r="J60" i="1" s="1"/>
  <c r="L60" i="1" a="1"/>
  <c r="L60" i="1" s="1"/>
  <c r="L61" i="1" a="1"/>
  <c r="L61" i="1" s="1"/>
  <c r="J49" i="1" a="1"/>
  <c r="J49" i="1" s="1"/>
  <c r="L49" i="1" a="1"/>
  <c r="L49" i="1" s="1"/>
  <c r="H49" i="1" s="1"/>
  <c r="J35" i="1" a="1"/>
  <c r="J35" i="1" s="1"/>
  <c r="J18" i="1" a="1"/>
  <c r="J18" i="1" s="1"/>
  <c r="J17" i="1" a="1"/>
  <c r="J17" i="1" s="1"/>
  <c r="J12" i="1" a="1"/>
  <c r="J12" i="1" s="1"/>
  <c r="J28" i="1" a="1"/>
  <c r="J28" i="1" s="1"/>
  <c r="J30" i="1" a="1"/>
  <c r="J30" i="1" s="1"/>
  <c r="J26" i="1" a="1"/>
  <c r="J26" i="1" s="1"/>
  <c r="J27" i="1" a="1"/>
  <c r="J27" i="1" s="1"/>
  <c r="J29" i="1" a="1"/>
  <c r="J29" i="1" s="1"/>
  <c r="J36" i="1" a="1"/>
  <c r="J36" i="1" s="1"/>
  <c r="J39" i="1" a="1"/>
  <c r="J39" i="1" s="1"/>
  <c r="J25" i="1" a="1"/>
  <c r="J25" i="1" s="1"/>
  <c r="J24" i="1" a="1"/>
  <c r="J24" i="1" s="1"/>
  <c r="C28" i="1"/>
  <c r="Q55" i="1" l="1"/>
  <c r="K55" i="1" s="1"/>
  <c r="H55" i="1"/>
  <c r="I55" i="1"/>
  <c r="M35" i="1"/>
  <c r="M24" i="1"/>
  <c r="C30" i="1" s="1"/>
  <c r="M54" i="1"/>
  <c r="M10" i="1"/>
  <c r="M53" i="1"/>
  <c r="C29" i="1" s="1"/>
  <c r="M43" i="1"/>
  <c r="C24" i="1" s="1"/>
  <c r="M30" i="1"/>
  <c r="M11" i="1"/>
  <c r="M52" i="1"/>
  <c r="R5" i="1"/>
  <c r="R6" i="1" s="1"/>
  <c r="M42" i="1"/>
  <c r="M29" i="1"/>
  <c r="M12" i="1"/>
  <c r="M51" i="1"/>
  <c r="M41" i="1"/>
  <c r="M28" i="1"/>
  <c r="M17" i="1"/>
  <c r="M50" i="1"/>
  <c r="M40" i="1"/>
  <c r="C27" i="1" s="1"/>
  <c r="M27" i="1"/>
  <c r="M19" i="1"/>
  <c r="M60" i="1"/>
  <c r="C35" i="1" s="1"/>
  <c r="M39" i="1"/>
  <c r="C32" i="1" s="1"/>
  <c r="M26" i="1"/>
  <c r="C31" i="1" s="1"/>
  <c r="M18" i="1"/>
  <c r="M62" i="1"/>
  <c r="M38" i="1"/>
  <c r="C26" i="1" s="1"/>
  <c r="M25" i="1"/>
  <c r="M49" i="1"/>
  <c r="C33" i="1" s="1"/>
  <c r="Q42" i="1"/>
  <c r="K42" i="1" s="1"/>
  <c r="H42" i="1"/>
  <c r="Q36" i="1"/>
  <c r="K36" i="1" s="1"/>
  <c r="H36" i="1"/>
  <c r="H29" i="1"/>
  <c r="Q29" i="1"/>
  <c r="K29" i="1" s="1"/>
  <c r="H37" i="1"/>
  <c r="Q37" i="1"/>
  <c r="K37" i="1" s="1"/>
  <c r="Q52" i="1"/>
  <c r="K52" i="1" s="1"/>
  <c r="H52" i="1"/>
  <c r="Q40" i="1"/>
  <c r="K40" i="1" s="1"/>
  <c r="H40" i="1"/>
  <c r="H27" i="1"/>
  <c r="Q27" i="1"/>
  <c r="K27" i="1" s="1"/>
  <c r="Q51" i="1"/>
  <c r="K51" i="1" s="1"/>
  <c r="H51" i="1"/>
  <c r="Q25" i="1"/>
  <c r="K25" i="1" s="1"/>
  <c r="H25" i="1"/>
  <c r="Q43" i="1"/>
  <c r="K43" i="1" s="1"/>
  <c r="H43" i="1"/>
  <c r="Q35" i="1"/>
  <c r="K35" i="1" s="1"/>
  <c r="Q49" i="1"/>
  <c r="K49" i="1" s="1"/>
  <c r="Q41" i="1"/>
  <c r="K41" i="1" s="1"/>
  <c r="H41" i="1"/>
  <c r="I41" i="1"/>
  <c r="Q24" i="1"/>
  <c r="K24" i="1" s="1"/>
  <c r="I24" i="1"/>
  <c r="H24" i="1"/>
  <c r="I38" i="1"/>
  <c r="Q38" i="1"/>
  <c r="K38" i="1" s="1"/>
  <c r="H38" i="1"/>
  <c r="Q30" i="1"/>
  <c r="K30" i="1" s="1"/>
  <c r="H30" i="1"/>
  <c r="I30" i="1"/>
  <c r="I61" i="1"/>
  <c r="Q61" i="1"/>
  <c r="K61" i="1" s="1"/>
  <c r="H61" i="1"/>
  <c r="H11" i="1"/>
  <c r="I11" i="1"/>
  <c r="Q11" i="1"/>
  <c r="K11" i="1" s="1"/>
  <c r="I37" i="1"/>
  <c r="I51" i="1"/>
  <c r="I40" i="1"/>
  <c r="I36" i="1"/>
  <c r="L10" i="1" a="1"/>
  <c r="L10" i="1" s="1"/>
  <c r="I29" i="1"/>
  <c r="I42" i="1"/>
  <c r="Q6" i="1"/>
  <c r="I52" i="1"/>
  <c r="I27" i="1"/>
  <c r="I25" i="1"/>
  <c r="I43" i="1"/>
  <c r="I35" i="1"/>
  <c r="U6" i="1"/>
  <c r="H53" i="1"/>
  <c r="I53" i="1"/>
  <c r="Q53" i="1"/>
  <c r="K53" i="1" s="1"/>
  <c r="I62" i="1"/>
  <c r="Q62" i="1"/>
  <c r="K62" i="1" s="1"/>
  <c r="H62" i="1"/>
  <c r="I60" i="1"/>
  <c r="Q60" i="1"/>
  <c r="K60" i="1" s="1"/>
  <c r="H60" i="1"/>
  <c r="H50" i="1"/>
  <c r="I50" i="1"/>
  <c r="Q50" i="1"/>
  <c r="K50" i="1" s="1"/>
  <c r="H39" i="1"/>
  <c r="I39" i="1"/>
  <c r="Q39" i="1"/>
  <c r="K39" i="1" s="1"/>
  <c r="H12" i="1"/>
  <c r="I12" i="1"/>
  <c r="Q12" i="1"/>
  <c r="K12" i="1" s="1"/>
  <c r="H19" i="1"/>
  <c r="Q19" i="1"/>
  <c r="K19" i="1" s="1"/>
  <c r="I19" i="1"/>
  <c r="Q26" i="1"/>
  <c r="K26" i="1" s="1"/>
  <c r="H26" i="1"/>
  <c r="I26" i="1"/>
  <c r="Q54" i="1"/>
  <c r="K54" i="1" s="1"/>
  <c r="H54" i="1"/>
  <c r="I54" i="1"/>
  <c r="I44" i="1"/>
  <c r="Q44" i="1"/>
  <c r="K44" i="1" s="1"/>
  <c r="H44" i="1"/>
  <c r="Q17" i="1"/>
  <c r="K17" i="1" s="1"/>
  <c r="H17" i="1"/>
  <c r="I17" i="1"/>
  <c r="Q18" i="1"/>
  <c r="K18" i="1" s="1"/>
  <c r="I18" i="1"/>
  <c r="H18" i="1"/>
  <c r="I28" i="1"/>
  <c r="H28" i="1"/>
  <c r="Q28" i="1"/>
  <c r="K28" i="1" s="1"/>
  <c r="I49" i="1"/>
  <c r="C34" i="1" l="1"/>
  <c r="C21" i="1"/>
  <c r="C23" i="1"/>
  <c r="C22" i="1"/>
  <c r="H10" i="1"/>
  <c r="I10" i="1"/>
  <c r="T5" i="1" s="1"/>
  <c r="Q10" i="1"/>
  <c r="K10" i="1" s="1"/>
  <c r="J5" i="1" s="1"/>
  <c r="C36" i="1" l="1"/>
  <c r="S5" i="1"/>
  <c r="T6" i="1"/>
  <c r="L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7"/>
        </ext>
      </extLst>
    </bk>
    <bk>
      <extLst>
        <ext uri="{3e2802c4-a4d2-4d8b-9148-e3be6c30e623}">
          <xlrd:rvb i="50"/>
        </ext>
      </extLst>
    </bk>
    <bk>
      <extLst>
        <ext uri="{3e2802c4-a4d2-4d8b-9148-e3be6c30e623}">
          <xlrd:rvb i="52"/>
        </ext>
      </extLst>
    </bk>
    <bk>
      <extLst>
        <ext uri="{3e2802c4-a4d2-4d8b-9148-e3be6c30e623}">
          <xlrd:rvb i="54"/>
        </ext>
      </extLst>
    </bk>
    <bk>
      <extLst>
        <ext uri="{3e2802c4-a4d2-4d8b-9148-e3be6c30e623}">
          <xlrd:rvb i="56"/>
        </ext>
      </extLst>
    </bk>
    <bk>
      <extLst>
        <ext uri="{3e2802c4-a4d2-4d8b-9148-e3be6c30e623}">
          <xlrd:rvb i="59"/>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<sst xmlns="http://schemas.openxmlformats.org/spreadsheetml/2006/main" count="201" uniqueCount="86">
  <si>
    <t>טיקר</t>
  </si>
  <si>
    <t>כמות מניות</t>
  </si>
  <si>
    <t>מחיר עלות</t>
  </si>
  <si>
    <t>סה"כ אחזקה</t>
  </si>
  <si>
    <t>אחוז מסה"כ התיק</t>
  </si>
  <si>
    <t>#</t>
  </si>
  <si>
    <t>מחיר זמן אמת</t>
  </si>
  <si>
    <t>שינוי יומי</t>
  </si>
  <si>
    <t>MSFT</t>
  </si>
  <si>
    <t>AMZN</t>
  </si>
  <si>
    <t>TSLA</t>
  </si>
  <si>
    <t>NVDA</t>
  </si>
  <si>
    <t>GOOGL</t>
  </si>
  <si>
    <t>META</t>
  </si>
  <si>
    <t>SOFI</t>
  </si>
  <si>
    <t>SHOP</t>
  </si>
  <si>
    <t>ASML</t>
  </si>
  <si>
    <t>UBER</t>
  </si>
  <si>
    <t>AMD</t>
  </si>
  <si>
    <t>TSM</t>
  </si>
  <si>
    <t>QQQ</t>
  </si>
  <si>
    <t>ETHA</t>
  </si>
  <si>
    <t>IBIT</t>
  </si>
  <si>
    <t>NVDL</t>
  </si>
  <si>
    <t>DELL</t>
  </si>
  <si>
    <t>MNDY</t>
  </si>
  <si>
    <t>UNH</t>
  </si>
  <si>
    <t>PATH</t>
  </si>
  <si>
    <t>MRNA</t>
  </si>
  <si>
    <t>PFE</t>
  </si>
  <si>
    <t>הימורים</t>
  </si>
  <si>
    <t>לא מרוצה</t>
  </si>
  <si>
    <t>LMT</t>
  </si>
  <si>
    <t>SCHD</t>
  </si>
  <si>
    <t>IWM</t>
  </si>
  <si>
    <t>PYPL</t>
  </si>
  <si>
    <t>HOOD</t>
  </si>
  <si>
    <t>מדד הפחד</t>
  </si>
  <si>
    <t>שער הדולר</t>
  </si>
  <si>
    <t>תיק מסחר - ליאור</t>
  </si>
  <si>
    <t>השקעה</t>
  </si>
  <si>
    <t>מזומן בתיק</t>
  </si>
  <si>
    <t>כסף מושקע</t>
  </si>
  <si>
    <t>רווח נוכחי</t>
  </si>
  <si>
    <t>ABNB</t>
  </si>
  <si>
    <t>PLTR</t>
  </si>
  <si>
    <t>CRM</t>
  </si>
  <si>
    <t>מחיר יעד</t>
  </si>
  <si>
    <t>תשואה באחוזים</t>
  </si>
  <si>
    <t>B/H/S</t>
  </si>
  <si>
    <t>B/H</t>
  </si>
  <si>
    <t>GLXY</t>
  </si>
  <si>
    <t>SOLZ</t>
  </si>
  <si>
    <t>CRWV</t>
  </si>
  <si>
    <t>PGY</t>
  </si>
  <si>
    <t>LAES</t>
  </si>
  <si>
    <t>חברות גדולות</t>
  </si>
  <si>
    <t>שבע הגדולות</t>
  </si>
  <si>
    <t>קריפטו</t>
  </si>
  <si>
    <t>מדדים</t>
  </si>
  <si>
    <t>סה"כ ערך תיק</t>
  </si>
  <si>
    <t>IREN</t>
  </si>
  <si>
    <t>NBIS</t>
  </si>
  <si>
    <t>עלות FIFO</t>
  </si>
  <si>
    <t>שינוי יומי(%)</t>
  </si>
  <si>
    <t>שינוי מצטבר(%)</t>
  </si>
  <si>
    <t>שינוי מצטבר</t>
  </si>
  <si>
    <t>WKEY</t>
  </si>
  <si>
    <t>הפרש מימושים</t>
  </si>
  <si>
    <t>סקטור</t>
  </si>
  <si>
    <t>קמעונאות</t>
  </si>
  <si>
    <t>טכנולוגיה</t>
  </si>
  <si>
    <t>שירותי תקשורת</t>
  </si>
  <si>
    <t>פיננסים</t>
  </si>
  <si>
    <t>שבבים</t>
  </si>
  <si>
    <t>חומרה</t>
  </si>
  <si>
    <t>בריאות</t>
  </si>
  <si>
    <t>תרופות</t>
  </si>
  <si>
    <t>טכנולוגיות קוונטיות</t>
  </si>
  <si>
    <t>נשק</t>
  </si>
  <si>
    <t>דיבידנדים</t>
  </si>
  <si>
    <t>תחבורה</t>
  </si>
  <si>
    <t>תשתיות מידע</t>
  </si>
  <si>
    <t>אחוז מהתיק</t>
  </si>
  <si>
    <t>סה"כ</t>
  </si>
  <si>
    <t>AAPL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</si>
</sst>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3" formatCode="_(* #,##0.00_);_(* \(#,##0.00\);_(* &quot;-&quot;??_);_(@_)"/>
    <numFmt numFmtId="164" formatCode="_ &quot;₪&quot;\ * #,##0_ ;_ &quot;₪&quot;\ * \-#,##0_ ;_ &quot;₪&quot;\ * &quot;-&quot;_ ;_ @_ "/>
    <numFmt numFmtId="165" formatCode="_ &quot;₪&quot;\ * #,##0.00_ ;_ &quot;₪&quot;\ * \-#,##0.00_ ;_ &quot;₪&quot;\ * &quot;-&quot;??_ ;_ @_ "/>
    <numFmt numFmtId="166" formatCode="_([$$-409]* #,##0.00_);_([$$-409]* \(#,##0.00\);_([$$-409]* &quot;-&quot;??_);_(@_)"/>
    <numFmt numFmtId="167" formatCode="[$$-409]#,##0.00"/>
    <numFmt numFmtId="168" formatCode="&quot;₪&quot;\ #,##0.00"/>
    <numFmt numFmtId="169" formatCode="_-* #,##0.00\ [$CHF-100C]_-;\-* #,##0.00\ [$CHF-100C]_-;_-* &quot;-&quot;??\ [$CHF-100C]_-;_-@_-"/>
    <numFmt numFmtId="170" formatCode="_ [$₪-40D]\ * #,##0.00_ ;_ [$₪-40D]\ * \-#,##0.00_ ;_ [$₪-40D]\ * &quot;-&quot;??_ ;_ @_ "/>
    <numFmt numFmtId="171" formatCode="_-[$$-1009]* #,##0.00_-;\-[$$-1009]* #,##0.00_-;_-[$$-1009]* &quot;-&quot;??_-;_-@_-"/>
  </numFmts>
  <fonts count="8" x14ac:knownFonts="1">
    <font>
      <sz val="11"/>
      <color theme="1"/>
      <name val="Aptos Narrow"/>
      <family val="2"/>
      <charset val="177"/>
      <scheme val="minor"/>
    </font>
    <font>
      <sz val="11"/>
      <color theme="1"/>
      <name val="Open Sans Hebrew"/>
    </font>
    <font>
      <sz val="11"/>
      <color theme="0"/>
      <name val="Open Sans Hebrew"/>
    </font>
    <font>
      <b/>
      <sz val="11"/>
      <color theme="0"/>
      <name val="Open Sans Hebrew"/>
    </font>
    <font>
      <b/>
      <sz val="11"/>
      <color theme="1"/>
      <name val="Open Sans Hebrew"/>
    </font>
    <font>
      <b/>
      <sz val="18"/>
      <color theme="1"/>
      <name val="Open Sans Hebrew"/>
    </font>
    <font>
      <sz val="11"/>
      <name val="Open Sans Hebrew"/>
    </font>
    <font>
      <b/>
      <sz val="10"/>
      <color theme="1"/>
      <name val="Open Sans Hebrew"/>
    </font>
  </fonts>
  <fills count="9">
    <fill>
      <patternFill patternType="none"/>
    </fill>
    <fill>
      <patternFill patternType="gray125"/>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8"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s>
  <cellStyleXfs count="1">
    <xf numFmtId="0" fontId="0" fillId="0" borderId="0"/>
  </cellStyleXfs>
  <cellXfs count="149">
    <xf numFmtId="0" fontId="0" fillId="0" borderId="0" xfId="0"/>
    <xf numFmtId="0" fontId="2" fillId="2" borderId="1" xfId="0" applyFont="1" applyFill="1" applyBorder="1" applyAlignment="1">
      <alignment horizontal="center"/>
    </xf>
    <xf numFmtId="10" fontId="1" fillId="3" borderId="1" xfId="0" applyNumberFormat="1" applyFont="1" applyFill="1" applyBorder="1" applyAlignment="1">
      <alignment horizontal="center"/>
    </xf>
    <xf numFmtId="0" fontId="1" fillId="3" borderId="1" xfId="0" applyFont="1" applyFill="1" applyBorder="1" applyAlignment="1">
      <alignment horizontal="center"/>
    </xf>
    <xf numFmtId="10" fontId="1" fillId="4" borderId="1" xfId="0" applyNumberFormat="1" applyFont="1" applyFill="1" applyBorder="1" applyAlignment="1">
      <alignment horizontal="center"/>
    </xf>
    <xf numFmtId="166" fontId="1" fillId="4" borderId="1" xfId="0" applyNumberFormat="1" applyFont="1" applyFill="1" applyBorder="1" applyAlignment="1">
      <alignment horizontal="center"/>
    </xf>
    <xf numFmtId="0" fontId="1" fillId="4" borderId="1" xfId="0" applyFont="1" applyFill="1" applyBorder="1" applyAlignment="1">
      <alignment horizontal="center"/>
    </xf>
    <xf numFmtId="10" fontId="1" fillId="6" borderId="1" xfId="0" applyNumberFormat="1" applyFont="1" applyFill="1" applyBorder="1" applyAlignment="1">
      <alignment horizontal="center"/>
    </xf>
    <xf numFmtId="9" fontId="1" fillId="3" borderId="1" xfId="0" applyNumberFormat="1" applyFont="1" applyFill="1" applyBorder="1" applyAlignment="1">
      <alignment horizontal="center"/>
    </xf>
    <xf numFmtId="9" fontId="1" fillId="4" borderId="1" xfId="0" applyNumberFormat="1" applyFont="1" applyFill="1" applyBorder="1" applyAlignment="1">
      <alignment horizontal="center"/>
    </xf>
    <xf numFmtId="10" fontId="1" fillId="7" borderId="1" xfId="0" applyNumberFormat="1" applyFont="1" applyFill="1" applyBorder="1" applyAlignment="1">
      <alignment horizontal="center"/>
    </xf>
    <xf numFmtId="166" fontId="1" fillId="7" borderId="1" xfId="0" applyNumberFormat="1" applyFont="1" applyFill="1" applyBorder="1" applyAlignment="1">
      <alignment horizontal="center"/>
    </xf>
    <xf numFmtId="9" fontId="1" fillId="7" borderId="1" xfId="0" applyNumberFormat="1" applyFont="1" applyFill="1" applyBorder="1" applyAlignment="1">
      <alignment horizontal="center"/>
    </xf>
    <xf numFmtId="0" fontId="1" fillId="7" borderId="1" xfId="0" applyFont="1" applyFill="1" applyBorder="1" applyAlignment="1">
      <alignment horizontal="center"/>
    </xf>
    <xf numFmtId="167" fontId="1" fillId="3" borderId="1" xfId="0" applyNumberFormat="1" applyFont="1" applyFill="1" applyBorder="1" applyAlignment="1">
      <alignment horizontal="center"/>
    </xf>
    <xf numFmtId="167" fontId="1" fillId="4" borderId="1" xfId="0" applyNumberFormat="1" applyFont="1" applyFill="1" applyBorder="1" applyAlignment="1">
      <alignment horizontal="center"/>
    </xf>
    <xf numFmtId="167" fontId="1" fillId="7" borderId="1" xfId="0" applyNumberFormat="1" applyFont="1" applyFill="1" applyBorder="1" applyAlignment="1">
      <alignment horizontal="center"/>
    </xf>
    <xf numFmtId="0" fontId="1" fillId="2" borderId="1" xfId="0" applyFont="1" applyFill="1" applyBorder="1" applyAlignment="1">
      <alignment horizontal="center"/>
    </xf>
    <xf numFmtId="168" fontId="1" fillId="3" borderId="1" xfId="0" applyNumberFormat="1" applyFont="1" applyFill="1" applyBorder="1" applyAlignment="1">
      <alignment horizontal="center"/>
    </xf>
    <xf numFmtId="10" fontId="1" fillId="0" borderId="4" xfId="0" applyNumberFormat="1" applyFont="1" applyBorder="1" applyAlignment="1">
      <alignment horizontal="center"/>
    </xf>
    <xf numFmtId="164" fontId="2" fillId="2" borderId="0" xfId="0" applyNumberFormat="1" applyFont="1" applyFill="1" applyAlignment="1">
      <alignment horizontal="center"/>
    </xf>
    <xf numFmtId="165" fontId="1" fillId="3" borderId="1" xfId="0" applyNumberFormat="1" applyFont="1" applyFill="1" applyBorder="1" applyAlignment="1">
      <alignment horizontal="center"/>
    </xf>
    <xf numFmtId="165" fontId="1" fillId="3" borderId="1" xfId="0" applyNumberFormat="1" applyFont="1" applyFill="1" applyBorder="1"/>
    <xf numFmtId="0" fontId="1" fillId="2" borderId="1" xfId="0" applyFont="1" applyFill="1" applyBorder="1"/>
    <xf numFmtId="4" fontId="1" fillId="2" borderId="1" xfId="0" applyNumberFormat="1" applyFont="1" applyFill="1" applyBorder="1" applyAlignment="1">
      <alignment horizontal="center"/>
    </xf>
    <xf numFmtId="10" fontId="1" fillId="8" borderId="8" xfId="0" applyNumberFormat="1" applyFont="1" applyFill="1" applyBorder="1" applyAlignment="1">
      <alignment horizontal="center"/>
    </xf>
    <xf numFmtId="166" fontId="1" fillId="8" borderId="9" xfId="0" applyNumberFormat="1" applyFont="1" applyFill="1" applyBorder="1" applyAlignment="1">
      <alignment horizontal="center"/>
    </xf>
    <xf numFmtId="166" fontId="1" fillId="0" borderId="5" xfId="0" applyNumberFormat="1" applyFont="1" applyBorder="1" applyAlignment="1">
      <alignment horizontal="center"/>
    </xf>
    <xf numFmtId="0" fontId="3" fillId="2" borderId="12" xfId="0" applyFont="1" applyFill="1" applyBorder="1" applyAlignment="1">
      <alignment horizontal="center"/>
    </xf>
    <xf numFmtId="10" fontId="4" fillId="0" borderId="4" xfId="0" applyNumberFormat="1" applyFont="1" applyBorder="1" applyAlignment="1">
      <alignment horizontal="center"/>
    </xf>
    <xf numFmtId="165" fontId="4" fillId="5" borderId="1" xfId="0" applyNumberFormat="1" applyFont="1" applyFill="1" applyBorder="1" applyAlignment="1">
      <alignment horizontal="center"/>
    </xf>
    <xf numFmtId="0" fontId="3" fillId="2" borderId="2" xfId="0" applyFont="1" applyFill="1" applyBorder="1" applyAlignment="1">
      <alignment horizontal="center"/>
    </xf>
    <xf numFmtId="165" fontId="4" fillId="5" borderId="13" xfId="0" applyNumberFormat="1" applyFont="1" applyFill="1" applyBorder="1" applyAlignment="1">
      <alignment horizontal="center"/>
    </xf>
    <xf numFmtId="167" fontId="4" fillId="5" borderId="8" xfId="0" applyNumberFormat="1" applyFont="1" applyFill="1" applyBorder="1" applyAlignment="1">
      <alignment horizontal="center"/>
    </xf>
    <xf numFmtId="167" fontId="4" fillId="5" borderId="9" xfId="0" applyNumberFormat="1" applyFont="1" applyFill="1" applyBorder="1" applyAlignment="1">
      <alignment horizontal="center"/>
    </xf>
    <xf numFmtId="0" fontId="0" fillId="0" borderId="0" xfId="0" applyAlignment="1">
      <alignment horizontal="center"/>
    </xf>
    <xf numFmtId="166" fontId="1" fillId="8" borderId="1" xfId="0" applyNumberFormat="1" applyFont="1" applyFill="1" applyBorder="1" applyAlignment="1">
      <alignment horizontal="center"/>
    </xf>
    <xf numFmtId="10" fontId="1" fillId="8" borderId="1" xfId="0" applyNumberFormat="1" applyFont="1" applyFill="1" applyBorder="1" applyAlignment="1">
      <alignment horizontal="center"/>
    </xf>
    <xf numFmtId="10" fontId="1" fillId="8" borderId="13" xfId="0" applyNumberFormat="1" applyFont="1" applyFill="1" applyBorder="1" applyAlignment="1">
      <alignment horizontal="center"/>
    </xf>
    <xf numFmtId="8" fontId="1" fillId="8" borderId="1" xfId="0" applyNumberFormat="1" applyFont="1" applyFill="1" applyBorder="1" applyAlignment="1">
      <alignment horizontal="center"/>
    </xf>
    <xf numFmtId="8" fontId="1" fillId="8" borderId="9" xfId="0" applyNumberFormat="1" applyFont="1" applyFill="1" applyBorder="1" applyAlignment="1">
      <alignment horizontal="center"/>
    </xf>
    <xf numFmtId="10" fontId="1" fillId="8" borderId="9" xfId="0" applyNumberFormat="1" applyFont="1" applyFill="1" applyBorder="1" applyAlignment="1">
      <alignment horizontal="center"/>
    </xf>
    <xf numFmtId="8" fontId="1" fillId="3" borderId="1" xfId="0" applyNumberFormat="1" applyFont="1" applyFill="1" applyBorder="1" applyAlignment="1">
      <alignment horizontal="center"/>
    </xf>
    <xf numFmtId="170" fontId="4" fillId="0" borderId="5" xfId="0" applyNumberFormat="1" applyFont="1" applyBorder="1" applyAlignment="1">
      <alignment horizontal="center"/>
    </xf>
    <xf numFmtId="10" fontId="1" fillId="8" borderId="17" xfId="0" applyNumberFormat="1" applyFont="1" applyFill="1" applyBorder="1" applyAlignment="1">
      <alignment horizontal="center"/>
    </xf>
    <xf numFmtId="8" fontId="1" fillId="8" borderId="18" xfId="0" applyNumberFormat="1" applyFont="1" applyFill="1" applyBorder="1" applyAlignment="1">
      <alignment horizontal="center"/>
    </xf>
    <xf numFmtId="10" fontId="1" fillId="8" borderId="18" xfId="0" applyNumberFormat="1" applyFont="1" applyFill="1" applyBorder="1" applyAlignment="1">
      <alignment horizontal="center"/>
    </xf>
    <xf numFmtId="166" fontId="1" fillId="8" borderId="18" xfId="0" applyNumberFormat="1" applyFont="1" applyFill="1" applyBorder="1" applyAlignment="1">
      <alignment horizontal="center"/>
    </xf>
    <xf numFmtId="166" fontId="1" fillId="3" borderId="1" xfId="0" applyNumberFormat="1" applyFont="1" applyFill="1" applyBorder="1" applyAlignment="1">
      <alignment horizontal="center"/>
    </xf>
    <xf numFmtId="171" fontId="1" fillId="3" borderId="1" xfId="0" applyNumberFormat="1" applyFont="1" applyFill="1" applyBorder="1" applyAlignment="1">
      <alignment horizontal="center"/>
    </xf>
    <xf numFmtId="4" fontId="1" fillId="2" borderId="18" xfId="0" applyNumberFormat="1" applyFont="1" applyFill="1" applyBorder="1" applyAlignment="1">
      <alignment horizontal="center"/>
    </xf>
    <xf numFmtId="0" fontId="3" fillId="2" borderId="19" xfId="0" applyFont="1" applyFill="1" applyBorder="1" applyAlignment="1">
      <alignment horizontal="center"/>
    </xf>
    <xf numFmtId="9" fontId="1" fillId="0" borderId="13" xfId="0" applyNumberFormat="1" applyFont="1" applyBorder="1" applyAlignment="1">
      <alignment horizontal="center"/>
    </xf>
    <xf numFmtId="0" fontId="3" fillId="2" borderId="14" xfId="0" applyFont="1" applyFill="1" applyBorder="1" applyAlignment="1">
      <alignment horizontal="center"/>
    </xf>
    <xf numFmtId="9" fontId="1" fillId="0" borderId="8" xfId="0" applyNumberFormat="1" applyFont="1" applyBorder="1" applyAlignment="1">
      <alignment horizontal="center"/>
    </xf>
    <xf numFmtId="10" fontId="1" fillId="4" borderId="9" xfId="0" applyNumberFormat="1" applyFont="1" applyFill="1" applyBorder="1" applyAlignment="1">
      <alignment horizontal="center"/>
    </xf>
    <xf numFmtId="166" fontId="1" fillId="3" borderId="9" xfId="0" applyNumberFormat="1" applyFont="1" applyFill="1" applyBorder="1" applyAlignment="1">
      <alignment horizontal="center"/>
    </xf>
    <xf numFmtId="9" fontId="1" fillId="3" borderId="9" xfId="0" applyNumberFormat="1" applyFont="1" applyFill="1" applyBorder="1" applyAlignment="1">
      <alignment horizontal="center"/>
    </xf>
    <xf numFmtId="0" fontId="1" fillId="3" borderId="9" xfId="0" applyFont="1" applyFill="1" applyBorder="1" applyAlignment="1">
      <alignment horizontal="center"/>
    </xf>
    <xf numFmtId="167" fontId="1" fillId="3" borderId="9" xfId="0" applyNumberFormat="1" applyFont="1" applyFill="1" applyBorder="1" applyAlignment="1">
      <alignment horizontal="center"/>
    </xf>
    <xf numFmtId="4" fontId="1" fillId="2" borderId="9" xfId="0" applyNumberFormat="1" applyFont="1" applyFill="1" applyBorder="1" applyAlignment="1">
      <alignment horizontal="center"/>
    </xf>
    <xf numFmtId="0" fontId="3" fillId="2" borderId="10" xfId="0" applyFont="1" applyFill="1" applyBorder="1" applyAlignment="1">
      <alignment horizontal="center"/>
    </xf>
    <xf numFmtId="10" fontId="1" fillId="3" borderId="9" xfId="0" applyNumberFormat="1" applyFont="1" applyFill="1" applyBorder="1" applyAlignment="1">
      <alignment horizontal="center"/>
    </xf>
    <xf numFmtId="0" fontId="1" fillId="2" borderId="9" xfId="0" applyFont="1" applyFill="1" applyBorder="1" applyAlignment="1">
      <alignment horizontal="center"/>
    </xf>
    <xf numFmtId="0" fontId="1" fillId="2" borderId="9" xfId="0" applyFont="1" applyFill="1" applyBorder="1"/>
    <xf numFmtId="166" fontId="1" fillId="4" borderId="9" xfId="0" applyNumberFormat="1" applyFont="1" applyFill="1" applyBorder="1" applyAlignment="1">
      <alignment horizontal="center"/>
    </xf>
    <xf numFmtId="9" fontId="1" fillId="4" borderId="9" xfId="0" applyNumberFormat="1" applyFont="1" applyFill="1" applyBorder="1" applyAlignment="1">
      <alignment horizontal="center"/>
    </xf>
    <xf numFmtId="0" fontId="1" fillId="4" borderId="9" xfId="0" applyFont="1" applyFill="1" applyBorder="1" applyAlignment="1">
      <alignment horizontal="center"/>
    </xf>
    <xf numFmtId="167" fontId="1" fillId="4" borderId="9" xfId="0" applyNumberFormat="1" applyFont="1" applyFill="1" applyBorder="1" applyAlignment="1">
      <alignment horizontal="center"/>
    </xf>
    <xf numFmtId="10" fontId="1" fillId="7" borderId="9" xfId="0" applyNumberFormat="1" applyFont="1" applyFill="1" applyBorder="1" applyAlignment="1">
      <alignment horizontal="center"/>
    </xf>
    <xf numFmtId="166" fontId="1" fillId="7" borderId="9" xfId="0" applyNumberFormat="1" applyFont="1" applyFill="1" applyBorder="1" applyAlignment="1">
      <alignment horizontal="center"/>
    </xf>
    <xf numFmtId="9" fontId="1" fillId="7" borderId="9" xfId="0" applyNumberFormat="1" applyFont="1" applyFill="1" applyBorder="1" applyAlignment="1">
      <alignment horizontal="center"/>
    </xf>
    <xf numFmtId="0" fontId="1" fillId="7" borderId="9" xfId="0" applyFont="1" applyFill="1" applyBorder="1" applyAlignment="1">
      <alignment horizontal="center"/>
    </xf>
    <xf numFmtId="167" fontId="1" fillId="7" borderId="9" xfId="0" applyNumberFormat="1" applyFont="1" applyFill="1" applyBorder="1" applyAlignment="1">
      <alignment horizontal="center"/>
    </xf>
    <xf numFmtId="167" fontId="4" fillId="5" borderId="0" xfId="0" applyNumberFormat="1" applyFont="1" applyFill="1" applyAlignment="1">
      <alignment horizontal="center"/>
    </xf>
    <xf numFmtId="9" fontId="4" fillId="5" borderId="0" xfId="0" applyNumberFormat="1" applyFont="1" applyFill="1" applyAlignment="1">
      <alignment horizontal="center"/>
    </xf>
    <xf numFmtId="167" fontId="1" fillId="5" borderId="0" xfId="0" applyNumberFormat="1" applyFont="1" applyFill="1" applyAlignment="1">
      <alignment horizontal="center"/>
    </xf>
    <xf numFmtId="0" fontId="2" fillId="2" borderId="13" xfId="0" applyFont="1" applyFill="1" applyBorder="1" applyAlignment="1">
      <alignment horizontal="center"/>
    </xf>
    <xf numFmtId="0" fontId="0" fillId="5" borderId="0" xfId="0" applyFill="1" applyAlignment="1">
      <alignment horizontal="center"/>
    </xf>
    <xf numFmtId="0" fontId="0" fillId="5" borderId="0" xfId="0" applyFill="1"/>
    <xf numFmtId="10" fontId="1" fillId="5" borderId="0" xfId="0" applyNumberFormat="1" applyFont="1" applyFill="1" applyAlignment="1">
      <alignment horizontal="center"/>
    </xf>
    <xf numFmtId="166" fontId="1" fillId="5" borderId="0" xfId="0" applyNumberFormat="1" applyFont="1" applyFill="1" applyAlignment="1">
      <alignment horizontal="center"/>
    </xf>
    <xf numFmtId="0" fontId="1" fillId="5" borderId="0" xfId="0" applyFont="1" applyFill="1" applyAlignment="1">
      <alignment horizontal="center"/>
    </xf>
    <xf numFmtId="0" fontId="2" fillId="5" borderId="0" xfId="0" applyFont="1" applyFill="1"/>
    <xf numFmtId="0" fontId="2" fillId="5" borderId="0" xfId="0" applyFont="1" applyFill="1" applyAlignment="1">
      <alignment horizontal="center"/>
    </xf>
    <xf numFmtId="164" fontId="2" fillId="5" borderId="0" xfId="0" applyNumberFormat="1" applyFont="1" applyFill="1" applyAlignment="1">
      <alignment horizontal="center"/>
    </xf>
    <xf numFmtId="169" fontId="2" fillId="5" borderId="0" xfId="0" applyNumberFormat="1" applyFont="1" applyFill="1" applyAlignment="1">
      <alignment horizontal="center"/>
    </xf>
    <xf numFmtId="165" fontId="1" fillId="3" borderId="9" xfId="0" applyNumberFormat="1" applyFont="1" applyFill="1" applyBorder="1" applyAlignment="1">
      <alignment horizontal="center"/>
    </xf>
    <xf numFmtId="165" fontId="1" fillId="4" borderId="1" xfId="0" applyNumberFormat="1" applyFont="1" applyFill="1" applyBorder="1" applyAlignment="1">
      <alignment horizontal="center"/>
    </xf>
    <xf numFmtId="165" fontId="1" fillId="4" borderId="9" xfId="0" applyNumberFormat="1" applyFont="1" applyFill="1" applyBorder="1" applyAlignment="1">
      <alignment horizontal="center"/>
    </xf>
    <xf numFmtId="165" fontId="1" fillId="7" borderId="1" xfId="0" applyNumberFormat="1" applyFont="1" applyFill="1" applyBorder="1" applyAlignment="1">
      <alignment horizontal="center"/>
    </xf>
    <xf numFmtId="165" fontId="1" fillId="7" borderId="9" xfId="0" applyNumberFormat="1" applyFont="1" applyFill="1" applyBorder="1" applyAlignment="1">
      <alignment horizontal="center"/>
    </xf>
    <xf numFmtId="166" fontId="0" fillId="0" borderId="0" xfId="0" applyNumberFormat="1"/>
    <xf numFmtId="43" fontId="0" fillId="0" borderId="0" xfId="0" applyNumberForma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4" borderId="1" xfId="0" applyFont="1" applyFill="1" applyBorder="1" applyAlignment="1">
      <alignment horizontal="center"/>
    </xf>
    <xf numFmtId="0" fontId="4" fillId="4" borderId="9" xfId="0" applyFont="1" applyFill="1" applyBorder="1" applyAlignment="1">
      <alignment horizontal="center"/>
    </xf>
    <xf numFmtId="0" fontId="4" fillId="7" borderId="1" xfId="0" applyFont="1" applyFill="1" applyBorder="1" applyAlignment="1">
      <alignment horizontal="center"/>
    </xf>
    <xf numFmtId="0" fontId="4" fillId="7" borderId="9" xfId="0" applyFont="1" applyFill="1" applyBorder="1" applyAlignment="1">
      <alignment horizontal="center"/>
    </xf>
    <xf numFmtId="0" fontId="4" fillId="8" borderId="14" xfId="0" applyFont="1" applyFill="1" applyBorder="1" applyAlignment="1">
      <alignment horizontal="center"/>
    </xf>
    <xf numFmtId="0" fontId="4" fillId="8" borderId="19" xfId="0" applyFont="1" applyFill="1" applyBorder="1" applyAlignment="1">
      <alignment horizontal="center"/>
    </xf>
    <xf numFmtId="0" fontId="4" fillId="8" borderId="10"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lignment horizontal="center"/>
    </xf>
    <xf numFmtId="167" fontId="6" fillId="4" borderId="9" xfId="0" applyNumberFormat="1" applyFont="1" applyFill="1" applyBorder="1" applyAlignment="1">
      <alignment horizontal="center"/>
    </xf>
    <xf numFmtId="167" fontId="6" fillId="4" borderId="1" xfId="0" applyNumberFormat="1" applyFont="1" applyFill="1" applyBorder="1" applyAlignment="1">
      <alignment horizontal="center"/>
    </xf>
    <xf numFmtId="167" fontId="6" fillId="3" borderId="1" xfId="0" applyNumberFormat="1" applyFont="1" applyFill="1" applyBorder="1" applyAlignment="1">
      <alignment horizontal="center"/>
    </xf>
    <xf numFmtId="167" fontId="6" fillId="3" borderId="9" xfId="0" applyNumberFormat="1" applyFont="1" applyFill="1" applyBorder="1" applyAlignment="1">
      <alignment horizontal="center"/>
    </xf>
    <xf numFmtId="166" fontId="4" fillId="5" borderId="8" xfId="0" applyNumberFormat="1" applyFont="1" applyFill="1" applyBorder="1" applyAlignment="1">
      <alignment horizontal="center"/>
    </xf>
    <xf numFmtId="9" fontId="4" fillId="5" borderId="13" xfId="0" applyNumberFormat="1" applyFont="1" applyFill="1" applyBorder="1" applyAlignment="1">
      <alignment horizontal="center"/>
    </xf>
    <xf numFmtId="9" fontId="4" fillId="5" borderId="8" xfId="0" applyNumberFormat="1" applyFont="1" applyFill="1" applyBorder="1" applyAlignment="1">
      <alignment horizontal="center"/>
    </xf>
    <xf numFmtId="9" fontId="7" fillId="5" borderId="0" xfId="0" applyNumberFormat="1" applyFont="1" applyFill="1" applyAlignment="1">
      <alignment horizontal="center"/>
    </xf>
    <xf numFmtId="0" fontId="3" fillId="2" borderId="29" xfId="0" applyFont="1" applyFill="1" applyBorder="1" applyAlignment="1">
      <alignment horizontal="center"/>
    </xf>
    <xf numFmtId="0" fontId="3" fillId="2" borderId="30" xfId="0" applyFont="1" applyFill="1" applyBorder="1" applyAlignment="1">
      <alignment horizontal="center"/>
    </xf>
    <xf numFmtId="9" fontId="7" fillId="5" borderId="14" xfId="0" applyNumberFormat="1" applyFont="1" applyFill="1" applyBorder="1" applyAlignment="1">
      <alignment horizontal="center"/>
    </xf>
    <xf numFmtId="9" fontId="7" fillId="5" borderId="10" xfId="0" applyNumberFormat="1" applyFont="1" applyFill="1" applyBorder="1" applyAlignment="1">
      <alignment horizontal="center"/>
    </xf>
    <xf numFmtId="0" fontId="2" fillId="2" borderId="25" xfId="0" applyFont="1" applyFill="1" applyBorder="1" applyAlignment="1">
      <alignment horizontal="center"/>
    </xf>
    <xf numFmtId="0" fontId="2" fillId="2" borderId="6" xfId="0" applyFont="1" applyFill="1" applyBorder="1" applyAlignment="1">
      <alignment horizontal="center"/>
    </xf>
    <xf numFmtId="0" fontId="3" fillId="2" borderId="7"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167" fontId="1" fillId="5" borderId="11" xfId="0" applyNumberFormat="1" applyFont="1" applyFill="1" applyBorder="1" applyAlignment="1">
      <alignment horizontal="center"/>
    </xf>
    <xf numFmtId="167" fontId="1" fillId="5" borderId="15" xfId="0" applyNumberFormat="1" applyFont="1" applyFill="1" applyBorder="1" applyAlignment="1">
      <alignment horizontal="center"/>
    </xf>
    <xf numFmtId="0" fontId="0" fillId="0" borderId="0" xfId="0"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2" fillId="2" borderId="0" xfId="0" applyFont="1" applyFill="1" applyAlignment="1">
      <alignment horizontal="center"/>
    </xf>
    <xf numFmtId="169" fontId="2" fillId="2" borderId="0" xfId="0" applyNumberFormat="1" applyFont="1" applyFill="1" applyAlignment="1">
      <alignment horizontal="center"/>
    </xf>
    <xf numFmtId="168" fontId="1" fillId="5" borderId="1" xfId="0" applyNumberFormat="1" applyFont="1" applyFill="1" applyBorder="1" applyAlignment="1">
      <alignment horizontal="center"/>
    </xf>
    <xf numFmtId="168" fontId="1" fillId="5" borderId="14" xfId="0" applyNumberFormat="1"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16" xfId="0" applyFont="1" applyFill="1" applyBorder="1" applyAlignment="1">
      <alignment horizontal="center"/>
    </xf>
    <xf numFmtId="165" fontId="5" fillId="5" borderId="6" xfId="0" applyNumberFormat="1" applyFont="1" applyFill="1" applyBorder="1" applyAlignment="1">
      <alignment horizontal="center"/>
    </xf>
    <xf numFmtId="165" fontId="5" fillId="5" borderId="7" xfId="0" applyNumberFormat="1" applyFont="1" applyFill="1" applyBorder="1" applyAlignment="1">
      <alignment horizontal="center"/>
    </xf>
    <xf numFmtId="165" fontId="5" fillId="5" borderId="9" xfId="0" applyNumberFormat="1" applyFont="1" applyFill="1" applyBorder="1" applyAlignment="1">
      <alignment horizontal="center"/>
    </xf>
    <xf numFmtId="165" fontId="5" fillId="5" borderId="10" xfId="0" applyNumberFormat="1" applyFont="1" applyFill="1" applyBorder="1" applyAlignment="1">
      <alignment horizontal="center"/>
    </xf>
    <xf numFmtId="9" fontId="4" fillId="5" borderId="16" xfId="0" applyNumberFormat="1" applyFont="1" applyFill="1" applyBorder="1" applyAlignment="1">
      <alignment horizontal="center" vertical="center"/>
    </xf>
    <xf numFmtId="9" fontId="4" fillId="5" borderId="24" xfId="0" applyNumberFormat="1" applyFont="1" applyFill="1" applyBorder="1" applyAlignment="1">
      <alignment horizontal="center" vertical="center"/>
    </xf>
    <xf numFmtId="165" fontId="5" fillId="5" borderId="25" xfId="0" applyNumberFormat="1" applyFont="1" applyFill="1" applyBorder="1" applyAlignment="1">
      <alignment horizontal="center"/>
    </xf>
    <xf numFmtId="165" fontId="5" fillId="5" borderId="8" xfId="0" applyNumberFormat="1" applyFont="1" applyFill="1" applyBorder="1" applyAlignment="1">
      <alignment horizontal="center"/>
    </xf>
    <xf numFmtId="0" fontId="4" fillId="0" borderId="23"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5" borderId="0" xfId="0" applyFill="1" applyAlignment="1">
      <alignment horizontal="center"/>
    </xf>
    <xf numFmtId="0" fontId="0" fillId="5" borderId="31" xfId="0" applyFill="1" applyBorder="1" applyAlignment="1">
      <alignment horizontal="center"/>
    </xf>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FC000"/>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גיליון1!$D$20</c:f>
              <c:strCache>
                <c:ptCount val="1"/>
                <c:pt idx="0">
                  <c:v>סקטור</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8-12DC-4080-8BCF-9811D84D0CE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9-12DC-4080-8BCF-9811D84D0CE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A-12DC-4080-8BCF-9811D84D0CE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12DC-4080-8BCF-9811D84D0CE8}"/>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12DC-4080-8BCF-9811D84D0CE8}"/>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0-12DC-4080-8BCF-9811D84D0CE8}"/>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F-12DC-4080-8BCF-9811D84D0CE8}"/>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D-12DC-4080-8BCF-9811D84D0CE8}"/>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E-12DC-4080-8BCF-9811D84D0CE8}"/>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7-12DC-4080-8BCF-9811D84D0CE8}"/>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6-12DC-4080-8BCF-9811D84D0CE8}"/>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5-12DC-4080-8BCF-9811D84D0CE8}"/>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4-12DC-4080-8BCF-9811D84D0CE8}"/>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3-12DC-4080-8BCF-9811D84D0CE8}"/>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2-12DC-4080-8BCF-9811D84D0CE8}"/>
              </c:ext>
            </c:extLst>
          </c:dPt>
          <c:dLbls>
            <c:dLbl>
              <c:idx val="0"/>
              <c:layout>
                <c:manualLayout>
                  <c:x val="-0.20207615075680721"/>
                  <c:y val="4.53138981395561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DC-4080-8BCF-9811D84D0CE8}"/>
                </c:ext>
              </c:extLst>
            </c:dLbl>
            <c:dLbl>
              <c:idx val="1"/>
              <c:layout>
                <c:manualLayout>
                  <c:x val="-0.15019173367060007"/>
                  <c:y val="-0.142415108438604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DC-4080-8BCF-9811D84D0CE8}"/>
                </c:ext>
              </c:extLst>
            </c:dLbl>
            <c:dLbl>
              <c:idx val="2"/>
              <c:layout>
                <c:manualLayout>
                  <c:x val="-0.12288414573049097"/>
                  <c:y val="-0.2459897327575903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DC-4080-8BCF-9811D84D0CE8}"/>
                </c:ext>
              </c:extLst>
            </c:dLbl>
            <c:dLbl>
              <c:idx val="3"/>
              <c:layout>
                <c:manualLayout>
                  <c:x val="0.22119146231488357"/>
                  <c:y val="5.82607261794292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2DC-4080-8BCF-9811D84D0CE8}"/>
                </c:ext>
              </c:extLst>
            </c:dLbl>
            <c:dLbl>
              <c:idx val="4"/>
              <c:layout>
                <c:manualLayout>
                  <c:x val="0.11469186934845815"/>
                  <c:y val="9.062779627911220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2DC-4080-8BCF-9811D84D0CE8}"/>
                </c:ext>
              </c:extLst>
            </c:dLbl>
            <c:dLbl>
              <c:idx val="5"/>
              <c:layout>
                <c:manualLayout>
                  <c:x val="2.7307587940109085E-3"/>
                  <c:y val="0.1229948663787951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DC-4080-8BCF-9811D84D0CE8}"/>
                </c:ext>
              </c:extLst>
            </c:dLbl>
            <c:dLbl>
              <c:idx val="6"/>
              <c:layout>
                <c:manualLayout>
                  <c:x val="-5.1884417086207259E-2"/>
                  <c:y val="0.1003379173090170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2DC-4080-8BCF-9811D84D0CE8}"/>
                </c:ext>
              </c:extLst>
            </c:dLbl>
            <c:dLbl>
              <c:idx val="7"/>
              <c:layout>
                <c:manualLayout>
                  <c:x val="2.7307587940109085E-3"/>
                  <c:y val="7.768096823923903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2DC-4080-8BCF-9811D84D0CE8}"/>
                </c:ext>
              </c:extLst>
            </c:dLbl>
            <c:dLbl>
              <c:idx val="8"/>
              <c:layout>
                <c:manualLayout>
                  <c:x val="1.3653793970054543E-2"/>
                  <c:y val="6.14969234717582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DC-4080-8BCF-9811D84D0CE8}"/>
                </c:ext>
              </c:extLst>
            </c:dLbl>
            <c:dLbl>
              <c:idx val="9"/>
              <c:layout>
                <c:manualLayout>
                  <c:x val="0.12288414573049088"/>
                  <c:y val="3.2367070099682928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DC-4080-8BCF-9811D84D0CE8}"/>
                </c:ext>
              </c:extLst>
            </c:dLbl>
            <c:dLbl>
              <c:idx val="10"/>
              <c:layout>
                <c:manualLayout>
                  <c:x val="-1.3653793970054543E-2"/>
                  <c:y val="2.26569490697780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DC-4080-8BCF-9811D84D0CE8}"/>
                </c:ext>
              </c:extLst>
            </c:dLbl>
            <c:dLbl>
              <c:idx val="11"/>
              <c:layout>
                <c:manualLayout>
                  <c:x val="-4.9153658292196353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DC-4080-8BCF-9811D84D0CE8}"/>
                </c:ext>
              </c:extLst>
            </c:dLbl>
            <c:dLbl>
              <c:idx val="12"/>
              <c:layout>
                <c:manualLayout>
                  <c:x val="-2.4576829146098177E-2"/>
                  <c:y val="-3.88404841196195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DC-4080-8BCF-9811D84D0CE8}"/>
                </c:ext>
              </c:extLst>
            </c:dLbl>
            <c:dLbl>
              <c:idx val="13"/>
              <c:layout>
                <c:manualLayout>
                  <c:x val="5.4615175880218116E-2"/>
                  <c:y val="-2.913036308971464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DC-4080-8BCF-9811D84D0CE8}"/>
                </c:ext>
              </c:extLst>
            </c:dLbl>
            <c:dLbl>
              <c:idx val="14"/>
              <c:layout>
                <c:manualLayout>
                  <c:x val="0.14746097487658905"/>
                  <c:y val="-4.207719112958781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DC-4080-8BCF-9811D84D0CE8}"/>
                </c:ext>
              </c:extLst>
            </c:dLbl>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Open Sans Hebrew" panose="00000500000000000000" pitchFamily="2" charset="-79"/>
                    <a:ea typeface="+mn-ea"/>
                    <a:cs typeface="Open Sans Hebrew" panose="00000500000000000000" pitchFamily="2" charset="-79"/>
                  </a:defRPr>
                </a:pPr>
                <a:endParaRPr lang="LID4096"/>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גיליון1!$D$21:$D$35</c:f>
              <c:strCache>
                <c:ptCount val="15"/>
                <c:pt idx="0">
                  <c:v>מדדים</c:v>
                </c:pt>
                <c:pt idx="1">
                  <c:v>קריפטו</c:v>
                </c:pt>
                <c:pt idx="2">
                  <c:v>טכנולוגיה</c:v>
                </c:pt>
                <c:pt idx="3">
                  <c:v>פיננסים</c:v>
                </c:pt>
                <c:pt idx="4">
                  <c:v>דיבידנדים</c:v>
                </c:pt>
                <c:pt idx="5">
                  <c:v>שבבים</c:v>
                </c:pt>
                <c:pt idx="6">
                  <c:v>חומרה</c:v>
                </c:pt>
                <c:pt idx="7">
                  <c:v>תשתיות מידע</c:v>
                </c:pt>
                <c:pt idx="8">
                  <c:v>טכנולוגיות קוונטיות</c:v>
                </c:pt>
                <c:pt idx="9">
                  <c:v>קמעונאות</c:v>
                </c:pt>
                <c:pt idx="10">
                  <c:v>שירותי תקשורת</c:v>
                </c:pt>
                <c:pt idx="11">
                  <c:v>תחבורה</c:v>
                </c:pt>
                <c:pt idx="12">
                  <c:v>בריאות</c:v>
                </c:pt>
                <c:pt idx="13">
                  <c:v>תרופות</c:v>
                </c:pt>
                <c:pt idx="14">
                  <c:v>נשק</c:v>
                </c:pt>
              </c:strCache>
            </c:strRef>
          </c:cat>
          <c:val>
            <c:numRef>
              <c:f>גיליון1!$C$21:$C$35</c:f>
              <c:numCache>
                <c:formatCode>0%</c:formatCode>
                <c:ptCount val="15"/>
                <c:pt idx="0">
                  <c:v>0.26166586350003795</c:v>
                </c:pt>
                <c:pt idx="1">
                  <c:v>9.6222203485524599E-2</c:v>
                </c:pt>
                <c:pt idx="2">
                  <c:v>0.11149628052981381</c:v>
                </c:pt>
                <c:pt idx="3">
                  <c:v>3.2480883875682307E-2</c:v>
                </c:pt>
                <c:pt idx="4">
                  <c:v>2.4930744717131966E-2</c:v>
                </c:pt>
                <c:pt idx="5">
                  <c:v>8.6742073046224222E-2</c:v>
                </c:pt>
                <c:pt idx="6">
                  <c:v>1.0063625145227621E-2</c:v>
                </c:pt>
                <c:pt idx="7">
                  <c:v>3.0281516138943636E-2</c:v>
                </c:pt>
                <c:pt idx="8">
                  <c:v>4.0831361158769272E-2</c:v>
                </c:pt>
                <c:pt idx="9">
                  <c:v>0.10224849885495722</c:v>
                </c:pt>
                <c:pt idx="10">
                  <c:v>0.13422989459990461</c:v>
                </c:pt>
                <c:pt idx="11">
                  <c:v>2.5649081933101607E-2</c:v>
                </c:pt>
                <c:pt idx="12">
                  <c:v>2.2715023083294334E-2</c:v>
                </c:pt>
                <c:pt idx="13">
                  <c:v>1.258833515090443E-2</c:v>
                </c:pt>
                <c:pt idx="14">
                  <c:v>7.8546147804824887E-3</c:v>
                </c:pt>
              </c:numCache>
            </c:numRef>
          </c:val>
          <c:extLst>
            <c:ext xmlns:c16="http://schemas.microsoft.com/office/drawing/2014/chart" uri="{C3380CC4-5D6E-409C-BE32-E72D297353CC}">
              <c16:uniqueId val="{00000001-12DC-4080-8BCF-9811D84D0CE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Open Sans Hebrew" panose="00000500000000000000" pitchFamily="2" charset="-79"/>
              <a:ea typeface="+mn-ea"/>
              <a:cs typeface="Open Sans Hebrew" panose="00000500000000000000" pitchFamily="2" charset="-79"/>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Open Sans Hebrew" panose="00000500000000000000" pitchFamily="2" charset="-79"/>
          <a:cs typeface="Open Sans Hebrew" panose="00000500000000000000" pitchFamily="2" charset="-79"/>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30255</xdr:colOff>
      <xdr:row>38</xdr:row>
      <xdr:rowOff>32775</xdr:rowOff>
    </xdr:from>
    <xdr:to>
      <xdr:col>6</xdr:col>
      <xdr:colOff>66114</xdr:colOff>
      <xdr:row>57</xdr:row>
      <xdr:rowOff>165566</xdr:rowOff>
    </xdr:to>
    <xdr:graphicFrame macro="">
      <xdr:nvGraphicFramePr>
        <xdr:cNvPr id="7" name="תרשים 6">
          <a:extLst>
            <a:ext uri="{FF2B5EF4-FFF2-40B4-BE49-F238E27FC236}">
              <a16:creationId xmlns:a16="http://schemas.microsoft.com/office/drawing/2014/main" id="{D033C10B-7504-14BE-B28C-7A4C31BD1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28">
  <rv s="0">
    <v>https://www.bing.com/financeapi/forcetrigger?t=c438im&amp;q=XNAS%3aIREN&amp;form=skydnc</v>
    <v>Learn more on Bing</v>
  </rv>
  <rv s="1">
    <v>en-US</v>
    <v>c438im</v>
    <v>268435456</v>
    <v>1</v>
    <v>Powered by Refinitiv</v>
    <v>0</v>
    <v>IREN LIMITED (XNAS:IREN)</v>
    <v>2</v>
    <v>3</v>
    <v>Finance</v>
    <v>4</v>
    <v>76.87</v>
    <v>5.125</v>
    <v>4.2626999999999997</v>
    <v>2.12</v>
    <v>5.3106E-2</v>
    <v>USD</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257</v>
    <v>Nasdaq Stock Market</v>
    <v>XNAS</v>
    <v>XNAS</v>
    <v>Level 6, 55 Market Street, SYDNEY, NEW SOUTH WALES, 2000 AU</v>
    <v>43.52</v>
    <v>Financial Technology (Fintech) &amp; Infrastructure</v>
    <v>Stock</v>
    <v>46014.041561539059</v>
    <v>0</v>
    <v>41.01</v>
    <v>12134534904</v>
    <v>IREN LIMITED</v>
    <v>IREN LIMITED</v>
    <v>42.061999999999998</v>
    <v>30.630199999999999</v>
    <v>39.92</v>
    <v>42.04</v>
    <v>288642600</v>
    <v>IREN</v>
    <v>IREN LIMITED (XNAS:IREN)</v>
    <v>555748</v>
    <v>38607927</v>
    <v>2018</v>
  </rv>
  <rv s="2">
    <v>1</v>
  </rv>
  <rv s="3">
    <v>en-US</v>
    <v>avyoh7</v>
    <v>268435456</v>
    <v>1</v>
    <v>Powered by Refinitiv</v>
    <v>5</v>
    <v>USD/ILS</v>
    <v>6</v>
    <v>7</v>
    <v>Finance</v>
    <v>8</v>
    <v>3.8363</v>
    <v>3.1823000000000001</v>
    <v>-3.0999999999999999E-3</v>
    <v>-9.6900000000000003E-4</v>
    <v>ILS</v>
    <v>USD</v>
    <v>3.2029000000000001</v>
    <v>Currency Pair</v>
    <v>46014.553993055553</v>
    <v>3.1896</v>
    <v>US Dollar/Israeli Shekel FX Spot Rate</v>
    <v>3.1916000000000002</v>
    <v>3.1993</v>
    <v>3.1962000000000002</v>
    <v>USDILS</v>
    <v>USD/ILS</v>
  </rv>
  <rv s="2">
    <v>3</v>
  </rv>
  <rv s="0">
    <v>https://www.bing.com/financeapi/forcetrigger?t=a25dp2&amp;q=BATS%3aVIXY&amp;form=skydnc</v>
    <v>Learn more on Bing</v>
  </rv>
  <rv s="4">
    <v>en-US</v>
    <v>a25dp2</v>
    <v>268435456</v>
    <v>1</v>
    <v>Powered by Refinitiv</v>
    <v>9</v>
    <v>ProShs II:VIX ST Fut (BATS:VIXY)</v>
    <v>10</v>
    <v>11</v>
    <v>Finance</v>
    <v>12</v>
    <v>89.144900000000007</v>
    <v>25.97</v>
    <v>-2.4055</v>
    <v>-0.93</v>
    <v>-3.4381000000000002E-2</v>
    <v>USD</v>
    <v>CBOE BZX Exchange</v>
    <v>BATS</v>
    <v>1.09E-2</v>
    <v>26.61</v>
    <v>ETF</v>
    <v>46013.041753888283</v>
    <v>5</v>
    <v>25.97</v>
    <v>215748541.81</v>
    <v>ProShs II:VIX ST Fut</v>
    <v>26.47</v>
    <v>27.05</v>
    <v>26.12</v>
    <v>VIXY</v>
    <v>ProShs II:VIX ST Fut (BATS:VIXY)</v>
    <v>42103</v>
    <v>3511684</v>
  </rv>
  <rv s="2">
    <v>6</v>
  </rv>
  <rv s="0">
    <v>https://www.bing.com/financeapi/forcetrigger?t=a26dyc&amp;q=XNAS%3aYNDX&amp;form=skydnc</v>
    <v>Learn more on Bing</v>
  </rv>
  <rv s="1">
    <v>en-US</v>
    <v>a26dyc</v>
    <v>268435456</v>
    <v>1</v>
    <v>Powered by Refinitiv</v>
    <v>0</v>
    <v>Nebius Group NV (XNAS:NBIS)</v>
    <v>2</v>
    <v>3</v>
    <v>Finance</v>
    <v>4</v>
    <v>141.1</v>
    <v>18.309999999999999</v>
    <v>-12.459</v>
    <v>3.77</v>
    <v>4.2141999999999999E-2</v>
    <v>USD</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1371</v>
    <v>Nasdaq Stock Market</v>
    <v>XNAS</v>
    <v>XNAS</v>
    <v>Gustav Mahlerlaan 300, AMSTERDAM, NOORD-HOLLAND, 1082 ME NL</v>
    <v>95.9</v>
    <v>Professional &amp; Commercial Services</v>
    <v>Stock</v>
    <v>46014.041477291408</v>
    <v>8</v>
    <v>91.1</v>
    <v>23475985256</v>
    <v>Nebius Group NV</v>
    <v>Nebius Group NV</v>
    <v>92.97</v>
    <v>103.8069</v>
    <v>89.46</v>
    <v>93.23</v>
    <v>251807200</v>
    <v>NBIS</v>
    <v>Nebius Group NV (XNAS:NBIS)</v>
    <v>341683</v>
    <v>17318925</v>
    <v>2004</v>
  </rv>
  <rv s="2">
    <v>9</v>
  </rv>
  <rv s="5">
    <v>en-US</v>
    <v>cgblqh</v>
    <v>268435456</v>
    <v>1</v>
    <v>Powered by Refinitiv</v>
    <v>13</v>
    <v>COREWEAVE, INC. (XNAS:CRWV)</v>
    <v>14</v>
    <v>15</v>
    <v>Finance</v>
    <v>4</v>
    <v>187</v>
    <v>33.515000000000001</v>
    <v>2.6419999999999999</v>
    <v>1.83</v>
    <v>2.2048000000000002E-2</v>
    <v>USD</v>
    <v>CoreWeave, Inc. is a cloud infrastructure technology company. The Company offers the CoreWeave Cloud Platform, which consists of software and cloud services that deliver the automation and efficiency needed to manage complex artificial intelligence (AI) infrastructure. Its CoreWeave Cloud Platform is an integrated solution that is purpose-built for running AI workloads such as model training and inference. Its solutions include infrastructure services, managed software services, and application software services. Its Infrastructure Services provide its customers with access to advanced graphics processing unit (GPU) and central processing unit (CPU) compute, highly performant networking, and storage. Its Managed Software Services include CKS, a flexible virtual private cloud and a bare metal service that runs kubernetes directly on high-performance servers. Its Application Software Services build on top of its infrastructure and managed software services, integrating additional tools.</v>
    <v>Nasdaq Stock Market</v>
    <v>XNAS</v>
    <v>XNAS</v>
    <v>290 W. Mt. Pleasant Avenue, Suite 4100, LIVINGSTON, NJ, 07039 US</v>
    <v>87.31</v>
    <v>Software &amp; IT Services</v>
    <v>Stock</v>
    <v>46014.041644490622</v>
    <v>84.18</v>
    <v>42272273525</v>
    <v>COREWEAVE, INC.</v>
    <v>COREWEAVE, INC.</v>
    <v>84.99</v>
    <v>0</v>
    <v>83</v>
    <v>84.83</v>
    <v>498317500</v>
    <v>CRWV</v>
    <v>COREWEAVE, INC. (XNAS:CRWV)</v>
    <v>476621</v>
    <v>31906151</v>
    <v>2017</v>
  </rv>
  <rv s="2">
    <v>11</v>
  </rv>
  <rv s="0">
    <v>https://www.bing.com/financeapi/forcetrigger?t=bwvem7&amp;q=XNAS%3aABNB&amp;form=skydnc</v>
    <v>Learn more on Bing</v>
  </rv>
  <rv s="1">
    <v>en-US</v>
    <v>bwvem7</v>
    <v>268435456</v>
    <v>1</v>
    <v>Powered by Refinitiv</v>
    <v>0</v>
    <v>AIRBNB, INC. (XNAS:ABNB)</v>
    <v>2</v>
    <v>3</v>
    <v>Finance</v>
    <v>4</v>
    <v>163.93</v>
    <v>99.88</v>
    <v>1.1071</v>
    <v>1.67</v>
    <v>1.2345E-2</v>
    <v>USD</v>
    <v>Airbnb, Inc. operates a global platform for stays and experiences. The Company’s marketplace model connects hosts and guests online or through mobile devices to book spaces and experiences around the world. The Company has built its platform to onboard new hosts, especially those who previously had not considered hosting. It partners with hosts throughout the process of setting up their listing and provides them with a suite of tools to manage their listings, including scheduling, merchandising, integrated payments, community support, host protection, pricing guidance, and feedback from reviews. Its Website and mobile applications provide its guests with a way to explore a variety of homes and experiences and an easy way to book them. Its technology platform powers its two-sided marketplace and enables its global network of hosts and guests. It owns a trademark portfolio with protection in 220 countries in which it operates for its primary brands, AIRBNB, and its Belo logo.</v>
    <v>7300</v>
    <v>Nasdaq Stock Market</v>
    <v>XNAS</v>
    <v>XNAS</v>
    <v>888 Brannan St., SAN FRANCISCO, CA, 94103 US</v>
    <v>138.52000000000001</v>
    <v>Software &amp; IT Services</v>
    <v>Stock</v>
    <v>46014.038892777346</v>
    <v>13</v>
    <v>135.94999999999999</v>
    <v>83039591415</v>
    <v>AIRBNB, INC.</v>
    <v>AIRBNB, INC.</v>
    <v>136.09</v>
    <v>32.531199999999998</v>
    <v>135.28</v>
    <v>136.94999999999999</v>
    <v>606349700</v>
    <v>ABNB</v>
    <v>AIRBNB, INC. (XNAS:ABNB)</v>
    <v>15281</v>
    <v>5339333</v>
    <v>2008</v>
  </rv>
  <rv s="2">
    <v>14</v>
  </rv>
  <rv s="0">
    <v>https://www.bing.com/financeapi/forcetrigger?t=a21icw&amp;q=XNAS%3aPYPL&amp;form=skydnc</v>
    <v>Learn more on Bing</v>
  </rv>
  <rv s="1">
    <v>en-US</v>
    <v>a21icw</v>
    <v>268435456</v>
    <v>1</v>
    <v>Powered by Refinitiv</v>
    <v>0</v>
    <v>PAYPAL HOLDINGS, INC. (XNAS:PYPL)</v>
    <v>2</v>
    <v>3</v>
    <v>Finance</v>
    <v>4</v>
    <v>93.245000000000005</v>
    <v>55.85</v>
    <v>1.4236</v>
    <v>0.05</v>
    <v>8.3599999999999994E-4</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Nasdaq Stock Market</v>
    <v>XNAS</v>
    <v>XNAS</v>
    <v>2211 N 1st St, SAN JOSE, CA, 95131 US</v>
    <v>60.545000000000002</v>
    <v>Professional &amp; Commercial Services</v>
    <v>Stock</v>
    <v>46014.041546250002</v>
    <v>16</v>
    <v>59.76</v>
    <v>56008128720</v>
    <v>PAYPAL HOLDINGS, INC.</v>
    <v>PAYPAL HOLDINGS, INC.</v>
    <v>59.96</v>
    <v>12.004</v>
    <v>59.81</v>
    <v>59.86</v>
    <v>935652000</v>
    <v>PYPL</v>
    <v>PAYPAL HOLDINGS, INC. (XNAS:PYPL)</v>
    <v>98283</v>
    <v>16995165</v>
    <v>2015</v>
  </rv>
  <rv s="2">
    <v>17</v>
  </rv>
  <rv s="0">
    <v>https://www.bing.com/financeapi/forcetrigger?t=c2mtww&amp;q=XNAS%3aHOOD&amp;form=skydnc</v>
    <v>Learn more on Bing</v>
  </rv>
  <rv s="1">
    <v>en-US</v>
    <v>c2mtww</v>
    <v>268435456</v>
    <v>1</v>
    <v>Powered by Refinitiv</v>
    <v>0</v>
    <v>ROBINHOOD MARKETS, INC. (XNAS:HOOD)</v>
    <v>2</v>
    <v>3</v>
    <v>Finance</v>
    <v>4</v>
    <v>153.85990000000001</v>
    <v>29.66</v>
    <v>2.4369999999999998</v>
    <v>1.02</v>
    <v>8.405000000000001E-3</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2300</v>
    <v>Nasdaq Stock Market</v>
    <v>XNAS</v>
    <v>XNAS</v>
    <v>85 Willow Road, MENLO PARK, CA, 94025 US</v>
    <v>124.55</v>
    <v>Financial Technology (Fintech) &amp; Infrastructure</v>
    <v>Stock</v>
    <v>46014.041584305465</v>
    <v>19</v>
    <v>121.07</v>
    <v>109116600000</v>
    <v>ROBINHOOD MARKETS, INC.</v>
    <v>ROBINHOOD MARKETS, INC.</v>
    <v>123.51</v>
    <v>54.069000000000003</v>
    <v>121.35</v>
    <v>122.37</v>
    <v>899188800</v>
    <v>HOOD</v>
    <v>ROBINHOOD MARKETS, INC. (XNAS:HOOD)</v>
    <v>145490</v>
    <v>28231076</v>
    <v>2013</v>
  </rv>
  <rv s="2">
    <v>20</v>
  </rv>
  <rv s="0">
    <v>https://www.bing.com/financeapi/forcetrigger?t=a1ndww&amp;q=XNAS%3aAMD&amp;form=skydnc</v>
    <v>Learn more on Bing</v>
  </rv>
  <rv s="1">
    <v>en-US</v>
    <v>a1ndww</v>
    <v>268435456</v>
    <v>1</v>
    <v>Powered by Refinitiv</v>
    <v>0</v>
    <v>ADVANCED MICRO DEVICES, INC. (XNAS:AMD)</v>
    <v>2</v>
    <v>3</v>
    <v>Finance</v>
    <v>4</v>
    <v>267.07990000000001</v>
    <v>76.48</v>
    <v>1.9482999999999999</v>
    <v>1.52</v>
    <v>7.1220000000000007E-3</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28000</v>
    <v>Nasdaq Stock Market</v>
    <v>XNAS</v>
    <v>XNAS</v>
    <v>2485 Augustine Drive, SANTA CLARA, CA, 95054 US</v>
    <v>220.17</v>
    <v>Semiconductors &amp; Semiconductor Equipment</v>
    <v>Stock</v>
    <v>46014.041650532032</v>
    <v>22</v>
    <v>213.31</v>
    <v>349947627900</v>
    <v>ADVANCED MICRO DEVICES, INC.</v>
    <v>ADVANCED MICRO DEVICES, INC.</v>
    <v>220</v>
    <v>112.164</v>
    <v>213.43</v>
    <v>214.95</v>
    <v>1628042000</v>
    <v>AMD</v>
    <v>ADVANCED MICRO DEVICES, INC. (XNAS:AMD)</v>
    <v>164637</v>
    <v>37980659</v>
    <v>1969</v>
  </rv>
  <rv s="2">
    <v>23</v>
  </rv>
  <rv s="0">
    <v>https://www.bing.com/financeapi/forcetrigger?t=bvsk7w&amp;q=XNYS%3aPLTR&amp;form=skydnc</v>
    <v>Learn more on Bing</v>
  </rv>
  <rv s="1">
    <v>en-US</v>
    <v>bvsk7w</v>
    <v>268435456</v>
    <v>1</v>
    <v>Powered by Refinitiv</v>
    <v>0</v>
    <v>PALANTIR TECHNOLOGIES INC. (XNAS:PLTR)</v>
    <v>2</v>
    <v>3</v>
    <v>Finance</v>
    <v>4</v>
    <v>207.52</v>
    <v>63.4</v>
    <v>1.5330999999999999</v>
    <v>0.6</v>
    <v>3.1030000000000003E-3</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4414</v>
    <v>Nasdaq Stock Market</v>
    <v>XNAS</v>
    <v>XNAS</v>
    <v>1200 17Th Street, Floor 15, DENVER, CO, 80202 US</v>
    <v>198.88</v>
    <v>Software &amp; IT Services</v>
    <v>Stock</v>
    <v>46014.041617707815</v>
    <v>25</v>
    <v>192.43</v>
    <v>462143965380</v>
    <v>PALANTIR TECHNOLOGIES INC.</v>
    <v>PALANTIR TECHNOLOGIES INC.</v>
    <v>195.04</v>
    <v>453.7013</v>
    <v>193.38</v>
    <v>193.98</v>
    <v>2382431000</v>
    <v>PLTR</v>
    <v>PALANTIR TECHNOLOGIES INC. (XNAS:PLTR)</v>
    <v>472589</v>
    <v>42733433</v>
    <v>2003</v>
  </rv>
  <rv s="2">
    <v>26</v>
  </rv>
  <rv s="0">
    <v>https://www.bing.com/financeapi/forcetrigger?t=a1qc1h&amp;q=XNYS%3aCRM&amp;form=skydnc</v>
    <v>Learn more on Bing</v>
  </rv>
  <rv s="1">
    <v>en-US</v>
    <v>a1qc1h</v>
    <v>268435456</v>
    <v>1</v>
    <v>Powered by Refinitiv</v>
    <v>0</v>
    <v>SALESFORCE, INC. (XNYS:CRM)</v>
    <v>2</v>
    <v>3</v>
    <v>Finance</v>
    <v>4</v>
    <v>367.09</v>
    <v>221.95750000000001</v>
    <v>1.2729999999999999</v>
    <v>4.72</v>
    <v>1.8159999999999999E-2</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76453</v>
    <v>New York Stock Exchange</v>
    <v>XNYS</v>
    <v>XNYS</v>
    <v>SALESFORCE TOWER, 415 MISSION STREET 3RD FL, SAN FRANCISCO, CA, 94105 US</v>
    <v>264.63</v>
    <v>Software &amp; IT Services</v>
    <v>Stock</v>
    <v>46014.041602510937</v>
    <v>28</v>
    <v>258.40499999999997</v>
    <v>247958310000</v>
    <v>SALESFORCE, INC.</v>
    <v>SALESFORCE, INC.</v>
    <v>260.62</v>
    <v>35.282200000000003</v>
    <v>259.91000000000003</v>
    <v>264.63</v>
    <v>937000000</v>
    <v>CRM</v>
    <v>SALESFORCE, INC. (XNYS:CRM)</v>
    <v>22507</v>
    <v>9164468</v>
    <v>1999</v>
  </rv>
  <rv s="2">
    <v>29</v>
  </rv>
  <rv s="0">
    <v>https://www.bing.com/financeapi/forcetrigger?t=ao7ia2&amp;q=XLON%3aCSPX&amp;form=skydnc</v>
    <v>Learn more on Bing</v>
  </rv>
  <rv s="6">
    <v>en-US</v>
    <v>ao7ia2</v>
    <v>268435456</v>
    <v>1</v>
    <v>Powered by Refinitiv</v>
    <v>16</v>
    <v>iShs Cr S&amp;P 500 ETF USD A (XLON:CSPX)</v>
    <v>10</v>
    <v>17</v>
    <v>Finance</v>
    <v>18</v>
    <v>863.38</v>
    <v>268.77999999999997</v>
    <v>0.99980000000000002</v>
    <v>0.04</v>
    <v>5.4320000000000002E-5</v>
    <v>USD</v>
    <v>London Stock Exchange</v>
    <v>XLON</v>
    <v>7.000000000000001E-4</v>
    <v>737.61</v>
    <v>ETF</v>
    <v>46014.543566978908</v>
    <v>31</v>
    <v>736.01</v>
    <v>134330663545.03999</v>
    <v>iShs Cr S&amp;P 500 ETF USD A</v>
    <v>736.42</v>
    <v>736.4</v>
    <v>736.44</v>
    <v>CSPX</v>
    <v>iShs Cr S&amp;P 500 ETF USD A (XLON:CSPX)</v>
    <v>25223</v>
  </rv>
  <rv s="2">
    <v>32</v>
  </rv>
  <rv s="0">
    <v>https://www.bing.com/financeapi/forcetrigger?t=bptw77&amp;q=XNYS%3aUBER&amp;form=skydnc</v>
    <v>Learn more on Bing</v>
  </rv>
  <rv s="1">
    <v>en-US</v>
    <v>bptw77</v>
    <v>268435456</v>
    <v>1</v>
    <v>Powered by Refinitiv</v>
    <v>0</v>
    <v>UBER TECHNOLOGIES, INC. (XNYS:UBER)</v>
    <v>2</v>
    <v>3</v>
    <v>Finance</v>
    <v>4</v>
    <v>101.99</v>
    <v>60.02</v>
    <v>1.2008000000000001</v>
    <v>1.95</v>
    <v>2.4586999999999998E-2</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31100</v>
    <v>New York Stock Exchange</v>
    <v>XNYS</v>
    <v>XNYS</v>
    <v>1725 3Rd Street, SAN FRANCISCO, CA, 94158 US</v>
    <v>82.25</v>
    <v>Software &amp; IT Services</v>
    <v>Stock</v>
    <v>46014.041543483596</v>
    <v>34</v>
    <v>80.900000000000006</v>
    <v>168844465800</v>
    <v>UBER TECHNOLOGIES, INC.</v>
    <v>UBER TECHNOLOGIES, INC.</v>
    <v>81.319999999999993</v>
    <v>10.4102</v>
    <v>79.31</v>
    <v>81.260000000000005</v>
    <v>2077830000</v>
    <v>UBER</v>
    <v>UBER TECHNOLOGIES, INC. (XNYS:UBER)</v>
    <v>23681</v>
    <v>22471023</v>
    <v>2010</v>
  </rv>
  <rv s="2">
    <v>35</v>
  </rv>
  <rv s="0">
    <v>https://www.bing.com/financeapi/forcetrigger?t=c53sz2&amp;q=XTAE%3aIN.FF1&amp;form=skydnc</v>
    <v>Learn more on Bing</v>
  </rv>
  <rv s="7">
    <v>en-US</v>
    <v>c53sz2</v>
    <v>268435456</v>
    <v>1</v>
    <v>Powered by Refinitiv</v>
    <v>19</v>
    <v>INVS&amp;P500UCITSETFAcc (XTAE:IN.FF1)</v>
    <v>10</v>
    <v>20</v>
    <v>Finance</v>
    <v>21</v>
    <v>-4</v>
    <v>-9.1160000000000004E-4</v>
    <v>ILa</v>
    <v>Tel Aviv Stock Exchange</v>
    <v>XTAE</v>
    <v>5.0000000000000001E-4</v>
    <v>4396</v>
    <v>ETF</v>
    <v>46014.543055555558</v>
    <v>37</v>
    <v>4373</v>
    <v>49528162273</v>
    <v>INVS&amp;P500UCITSETFAcc</v>
    <v>4388</v>
    <v>4388</v>
    <v>4384</v>
    <v>IN.FF1</v>
    <v>INVS&amp;P500UCITSETFAcc (XTAE:IN.FF1)</v>
    <v>114529</v>
  </rv>
  <rv s="2">
    <v>38</v>
  </rv>
  <rv s="0">
    <v>https://www.bing.com/financeapi/forcetrigger?t=a1yv52&amp;q=XNAS%3aNVDA&amp;form=skydnc</v>
    <v>Learn more on Bing</v>
  </rv>
  <rv s="1">
    <v>en-US</v>
    <v>a1yv52</v>
    <v>268435456</v>
    <v>1</v>
    <v>Powered by Refinitiv</v>
    <v>0</v>
    <v>NVIDIA CORPORATION (XNAS:NVDA)</v>
    <v>2</v>
    <v>3</v>
    <v>Finance</v>
    <v>4</v>
    <v>212.18989999999999</v>
    <v>86.62</v>
    <v>2.3151999999999999</v>
    <v>2.7</v>
    <v>1.4918000000000001E-2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184.16</v>
    <v>Semiconductors &amp; Semiconductor Equipment</v>
    <v>Stock</v>
    <v>46014.04165945547</v>
    <v>40</v>
    <v>182.35</v>
    <v>4463667000000</v>
    <v>NVIDIA CORPORATION</v>
    <v>NVIDIA CORPORATION</v>
    <v>183.92</v>
    <v>45.496499999999997</v>
    <v>180.99</v>
    <v>183.69</v>
    <v>24300000000</v>
    <v>NVDA</v>
    <v>NVIDIA CORPORATION (XNAS:NVDA)</v>
    <v>2262487</v>
    <v>204762639</v>
    <v>1998</v>
  </rv>
  <rv s="2">
    <v>41</v>
  </rv>
  <rv s="0">
    <v>https://www.bing.com/financeapi/forcetrigger?t=a21mim&amp;q=XNAS%3aQQQ&amp;form=skydnc</v>
    <v>Learn more on Bing</v>
  </rv>
  <rv s="4">
    <v>en-US</v>
    <v>a21mim</v>
    <v>268435456</v>
    <v>1</v>
    <v>Powered by Refinitiv</v>
    <v>9</v>
    <v>Invesco QQQ Trust 1 (XNAS:QQQ)</v>
    <v>10</v>
    <v>11</v>
    <v>Finance</v>
    <v>12</v>
    <v>637.01</v>
    <v>402.39</v>
    <v>1.0303</v>
    <v>2.9540000000000002</v>
    <v>4.7930000000000004E-3</v>
    <v>USD</v>
    <v>Nasdaq Stock Market</v>
    <v>XNAS</v>
    <v>2E-3</v>
    <v>621.65</v>
    <v>ETF</v>
    <v>46014.041607534375</v>
    <v>43</v>
    <v>617.77</v>
    <v>403022848719.20001</v>
    <v>Invesco QQQ Trust 1</v>
    <v>621.35</v>
    <v>616.25599999999997</v>
    <v>619.21</v>
    <v>QQQ</v>
    <v>Invesco QQQ Trust 1 (XNAS:QQQ)</v>
    <v>444547</v>
    <v>59837277</v>
  </rv>
  <rv s="2">
    <v>44</v>
  </rv>
  <rv s="8">
    <v>en-US</v>
    <v>cdur9c</v>
    <v>268435456</v>
    <v>1</v>
    <v>Powered by Refinitiv</v>
    <v>22</v>
    <v>SHOPIFY INC. (NEOE:SHOP)</v>
    <v>14</v>
    <v>23</v>
    <v>Finance</v>
    <v>21</v>
    <v>253</v>
    <v>99.56</v>
    <v>2.8376000000000001</v>
    <v>-0.72</v>
    <v>-3.0759999999999997E-3</v>
    <v>CAD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NEO Exchange</v>
    <v>NEOE</v>
    <v>NEOE</v>
    <v>151 O'connor Street, Ground Floor, OTTAWA, ON, K2P 2L8 CA</v>
    <v>236.71</v>
    <v>Software &amp; IT Services</v>
    <v>Stock</v>
    <v>46013.874776203127</v>
    <v>233.32</v>
    <v>220753500000</v>
    <v>SHOPIFY INC.</v>
    <v>SHOPIFY INC.</v>
    <v>235.66</v>
    <v>234.04</v>
    <v>233.32</v>
    <v>1301843000</v>
    <v>SHOP</v>
    <v>SHOPIFY INC. (NEOE:SHOP)</v>
    <v>9400</v>
    <v>7238840</v>
    <v>2004</v>
  </rv>
  <rv s="2">
    <v>46</v>
  </rv>
  <rv s="0">
    <v>https://www.bing.com/financeapi/forcetrigger?t=a24kjc&amp;q=XNYS%3aTSM&amp;form=skydnc</v>
    <v>Learn more on Bing</v>
  </rv>
  <rv s="1">
    <v>en-US</v>
    <v>a24kjc</v>
    <v>268435456</v>
    <v>1</v>
    <v>Powered by Refinitiv</v>
    <v>0</v>
    <v>Taiwan Semiconductor Manufacturing Co., Ltd. (XNYS:TSM)</v>
    <v>2</v>
    <v>3</v>
    <v>Finance</v>
    <v>4</v>
    <v>313.98</v>
    <v>134.25</v>
    <v>1.2964</v>
    <v>4.24</v>
    <v>1.4674E-2</v>
    <v>USD</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New York Stock Exchange</v>
    <v>XNYS</v>
    <v>XNYS</v>
    <v>No.8, Li-Hsin 6th Road, Hsinchu Science Park, HSINCHU, HSINCHU, 300 TW</v>
    <v>295.01</v>
    <v>Semiconductors &amp; Semiconductor Equipment</v>
    <v>Stock</v>
    <v>46014.041202789063</v>
    <v>48</v>
    <v>291.20999999999998</v>
    <v>1176731000000</v>
    <v>Taiwan Semiconductor Manufacturing Co., Ltd.</v>
    <v>Taiwan Semiconductor Manufacturing Co., Ltd.</v>
    <v>294.67</v>
    <v>29.183399999999999</v>
    <v>288.95</v>
    <v>293.19</v>
    <v>5186505000</v>
    <v>TSM</v>
    <v>Taiwan Semiconductor Manufacturing Co., Ltd. (XNYS:TSM)</v>
    <v>82775</v>
    <v>12206535</v>
    <v>1987</v>
  </rv>
  <rv s="2">
    <v>49</v>
  </rv>
  <rv s="9">
    <v>en-US</v>
    <v>cc5pdm</v>
    <v>268435456</v>
    <v>1</v>
    <v>Powered by Refinitiv</v>
    <v>24</v>
    <v>iShares Bitcoin Trust (XNAS:IBIT)</v>
    <v>6</v>
    <v>25</v>
    <v>Finance</v>
    <v>12</v>
    <v>71.819999999999993</v>
    <v>42.98</v>
    <v>0.18</v>
    <v>3.6059999999999998E-3</v>
    <v>USD</v>
    <v>Nasdaq Stock Market</v>
    <v>XNAS</v>
    <v>2.2000000000000001E-3</v>
    <v>51.29</v>
    <v>ETF</v>
    <v>46014.041491492972</v>
    <v>49.82</v>
    <v>70844288275.470001</v>
    <v>iShares Bitcoin Trust</v>
    <v>51.01</v>
    <v>49.91</v>
    <v>50.09</v>
    <v>IBIT</v>
    <v>iShares Bitcoin Trust (XNAS:IBIT)</v>
    <v>584520</v>
    <v>71021022</v>
  </rv>
  <rv s="2">
    <v>51</v>
  </rv>
  <rv s="9">
    <v>en-US</v>
    <v>ce8mrw</v>
    <v>268435456</v>
    <v>1</v>
    <v>Powered by Refinitiv</v>
    <v>24</v>
    <v>iShares Ethereum Trust (XNAS:ETHA)</v>
    <v>6</v>
    <v>25</v>
    <v>Finance</v>
    <v>12</v>
    <v>36.799999999999997</v>
    <v>10.99</v>
    <v>-0.16</v>
    <v>-7.0670000000000004E-3</v>
    <v>USD</v>
    <v>Nasdaq Stock Market</v>
    <v>XNAS</v>
    <v>1.1999999999999999E-3</v>
    <v>23.225000000000001</v>
    <v>ETF</v>
    <v>46014.04125648125</v>
    <v>22.38</v>
    <v>11131030744.469999</v>
    <v>iShares Ethereum Trust</v>
    <v>23.12</v>
    <v>22.64</v>
    <v>22.48</v>
    <v>ETHA</v>
    <v>iShares Ethereum Trust (XNAS:ETHA)</v>
    <v>478202</v>
    <v>50365004</v>
  </rv>
  <rv s="2">
    <v>53</v>
  </rv>
  <rv s="9">
    <v>en-US</v>
    <v>cg9ar7</v>
    <v>268435456</v>
    <v>1</v>
    <v>Powered by Refinitiv</v>
    <v>24</v>
    <v>Solana (XNAS:SOLZ)</v>
    <v>6</v>
    <v>25</v>
    <v>Finance</v>
    <v>12</v>
    <v>27.12</v>
    <v>11.55</v>
    <v>-0.27089999999999997</v>
    <v>-2.0790000000000003E-2</v>
    <v>USD</v>
    <v>Nasdaq Stock Market</v>
    <v>XNAS</v>
    <v>9.4999999999999998E-3</v>
    <v>13.2</v>
    <v>ETF</v>
    <v>46014.040451875</v>
    <v>12.73</v>
    <v>129174999.8</v>
    <v>Solana</v>
    <v>13.06</v>
    <v>13.03</v>
    <v>12.7591</v>
    <v>SOLZ</v>
    <v>Solana (XNAS:SOLZ)</v>
    <v>8780</v>
    <v>1504694</v>
  </rv>
  <rv s="2">
    <v>55</v>
  </rv>
  <rv s="0">
    <v>https://www.bing.com/financeapi/forcetrigger?t=a1nhlh&amp;q=XNAS%3aAMZN&amp;form=skydnc</v>
    <v>Learn more on Bing</v>
  </rv>
  <rv s="1">
    <v>en-US</v>
    <v>a1nhlh</v>
    <v>268435456</v>
    <v>1</v>
    <v>Powered by Refinitiv</v>
    <v>0</v>
    <v>AMAZON.COM, INC. (XNAS:AMZN)</v>
    <v>2</v>
    <v>3</v>
    <v>Finance</v>
    <v>4</v>
    <v>258.60000000000002</v>
    <v>161.38</v>
    <v>1.3764000000000001</v>
    <v>1.08</v>
    <v>4.7499999999999999E-3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229.48</v>
    <v>Diversified Retail</v>
    <v>Stock</v>
    <v>46014.041612649999</v>
    <v>57</v>
    <v>226.71</v>
    <v>2441966954600</v>
    <v>AMAZON.COM, INC.</v>
    <v>AMAZON.COM, INC.</v>
    <v>228.61</v>
    <v>32.268900000000002</v>
    <v>227.35</v>
    <v>228.43</v>
    <v>10690220000</v>
    <v>AMZN</v>
    <v>AMAZON.COM, INC. (XNAS:AMZN)</v>
    <v>127684</v>
    <v>44614934</v>
    <v>1996</v>
  </rv>
  <rv s="2">
    <v>58</v>
  </rv>
  <rv s="0">
    <v>http://en.wikipedia.org/wiki/Public_domain</v>
    <v>Public domain</v>
  </rv>
  <rv s="0">
    <v>https://en.wikipedia.org/wiki/Microsoft</v>
    <v>Wikipedia</v>
  </rv>
  <rv s="10">
    <v>60</v>
    <v>61</v>
  </rv>
  <rv s="11">
    <v>30</v>
    <v>https://www.bing.com/th?id=AMMS_e6e837c7bf3a77408619758b7447855a&amp;qlt=95</v>
    <v>62</v>
    <v>0</v>
    <v>https://www.bing.com/images/search?form=xlimg&amp;q=microsoft</v>
    <v>Image of MICROSOFT CORPORATION</v>
  </rv>
  <rv s="0">
    <v>https://www.bing.com/financeapi/forcetrigger?t=a1xzim&amp;q=XNAS%3aMSFT&amp;form=skydnc</v>
    <v>Learn more on Bing</v>
  </rv>
  <rv s="12">
    <v>en-US</v>
    <v>a1xzim</v>
    <v>268435456</v>
    <v>1</v>
    <v>Powered by Refinitiv</v>
    <v>26</v>
    <v>MICROSOFT CORPORATION (XNAS:MSFT)</v>
    <v>28</v>
    <v>29</v>
    <v>Finance</v>
    <v>4</v>
    <v>555.45000000000005</v>
    <v>344.79</v>
    <v>1.0725</v>
    <v>-1.2050000000000001</v>
    <v>-2.48E-3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488.73</v>
    <v>63</v>
    <v>Software &amp; IT Services</v>
    <v>Stock</v>
    <v>46014.041521017971</v>
    <v>64</v>
    <v>482.69</v>
    <v>3602584617555</v>
    <v>MICROSOFT CORPORATION</v>
    <v>MICROSOFT CORPORATION</v>
    <v>486.12</v>
    <v>34.500700000000002</v>
    <v>485.92</v>
    <v>484.71499999999997</v>
    <v>7432377000</v>
    <v>MSFT</v>
    <v>MICROSOFT CORPORATION (XNAS:MSFT)</v>
    <v>63606</v>
    <v>26559956</v>
    <v>1993</v>
  </rv>
  <rv s="2">
    <v>65</v>
  </rv>
  <rv s="0">
    <v>https://www.bing.com/financeapi/forcetrigger?t=a1u3rw&amp;q=XNAS%3aGOOGL&amp;form=skydnc</v>
    <v>Learn more on Bing</v>
  </rv>
  <rv s="1">
    <v>en-US</v>
    <v>a1u3rw</v>
    <v>268435456</v>
    <v>1</v>
    <v>Powered by Refinitiv</v>
    <v>0</v>
    <v>ALPHABET INC. (XNAS:GOOGL)</v>
    <v>2</v>
    <v>3</v>
    <v>Finance</v>
    <v>4</v>
    <v>328.83</v>
    <v>140.53</v>
    <v>1.0855999999999999</v>
    <v>2.62</v>
    <v>8.5299999999999994E-3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310.13</v>
    <v>Software &amp; IT Services</v>
    <v>Stock</v>
    <v>46014.041551747658</v>
    <v>67</v>
    <v>305.3</v>
    <v>3714340000000</v>
    <v>ALPHABET INC.</v>
    <v>ALPHABET INC.</v>
    <v>309.875</v>
    <v>30.547599999999999</v>
    <v>307.16000000000003</v>
    <v>309.77999999999997</v>
    <v>12067000000</v>
    <v>GOOGL</v>
    <v>ALPHABET INC. (XNAS:GOOGL)</v>
    <v>146476</v>
    <v>45429332</v>
    <v>2015</v>
  </rv>
  <rv s="2">
    <v>68</v>
  </rv>
  <rv s="0">
    <v>https://www.bing.com/financeapi/forcetrigger?t=a1slm7&amp;q=XNAS%3aMETA&amp;form=skydnc</v>
    <v>Learn more on Bing</v>
  </rv>
  <rv s="1">
    <v>en-US</v>
    <v>a1slm7</v>
    <v>268435456</v>
    <v>1</v>
    <v>Powered by Refinitiv</v>
    <v>0</v>
    <v>Meta Platforms, Inc. (XNAS:META)</v>
    <v>2</v>
    <v>3</v>
    <v>Finance</v>
    <v>4</v>
    <v>796.25</v>
    <v>479.8</v>
    <v>1.2876000000000001</v>
    <v>2.73</v>
    <v>4.1440000000000001E-3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78450</v>
    <v>Nasdaq Stock Market</v>
    <v>XNAS</v>
    <v>XNAS</v>
    <v>1 Meta Way, MENLO PARK, CA, 94025 US</v>
    <v>673.58</v>
    <v>Software &amp; IT Services</v>
    <v>Stock</v>
    <v>46014.041414328123</v>
    <v>70</v>
    <v>656.65</v>
    <v>1667329272000</v>
    <v>Meta Platforms, Inc.</v>
    <v>Meta Platforms, Inc.</v>
    <v>661.64499999999998</v>
    <v>22.758400000000002</v>
    <v>658.77</v>
    <v>661.5</v>
    <v>2520528000</v>
    <v>META</v>
    <v>Meta Platforms, Inc. (XNAS:META)</v>
    <v>71378</v>
    <v>18871865</v>
    <v>2004</v>
  </rv>
  <rv s="2">
    <v>71</v>
  </rv>
  <rv s="0">
    <v>https://www.bing.com/financeapi/forcetrigger?t=a24kar&amp;q=XNAS%3aTSLA&amp;form=skydnc</v>
    <v>Learn more on Bing</v>
  </rv>
  <rv s="1">
    <v>en-US</v>
    <v>a24kar</v>
    <v>268435456</v>
    <v>1</v>
    <v>Powered by Refinitiv</v>
    <v>0</v>
    <v>TESLA, INC. (XNAS:TSLA)</v>
    <v>2</v>
    <v>3</v>
    <v>Finance</v>
    <v>4</v>
    <v>498.83</v>
    <v>214.25</v>
    <v>1.8312999999999999</v>
    <v>7.53</v>
    <v>1.5647999999999999E-2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498.83</v>
    <v>Automobiles &amp; Auto Parts</v>
    <v>Stock</v>
    <v>46014.041652198437</v>
    <v>73</v>
    <v>485.33</v>
    <v>1625427519870</v>
    <v>TESLA, INC.</v>
    <v>TESLA, INC.</v>
    <v>489.88</v>
    <v>338.84989999999999</v>
    <v>481.2</v>
    <v>488.73</v>
    <v>3325819000</v>
    <v>TSLA</v>
    <v>TESLA, INC. (XNAS:TSLA)</v>
    <v>739446</v>
    <v>81618904</v>
    <v>2024</v>
  </rv>
  <rv s="2">
    <v>74</v>
  </rv>
  <rv s="0">
    <v>https://www.bing.com/financeapi/forcetrigger?t=a1mou2&amp;q=XNAS%3aAAPL&amp;form=skydnc</v>
    <v>Learn more on Bing</v>
  </rv>
  <rv s="1">
    <v>en-US</v>
    <v>a1mou2</v>
    <v>268435456</v>
    <v>1</v>
    <v>Powered by Refinitiv</v>
    <v>0</v>
    <v>APPLE INC. (XNAS:AAPL)</v>
    <v>2</v>
    <v>3</v>
    <v>Finance</v>
    <v>4</v>
    <v>288.62</v>
    <v>169.21010000000001</v>
    <v>1.0926</v>
    <v>-2.7</v>
    <v>-9.8659999999999998E-3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273.88</v>
    <v>Computers, Phones &amp; Household Electronics</v>
    <v>Stock</v>
    <v>46014.041636631249</v>
    <v>76</v>
    <v>270.505</v>
    <v>4003947559500</v>
    <v>APPLE INC.</v>
    <v>APPLE INC.</v>
    <v>272.86</v>
    <v>36.486600000000003</v>
    <v>273.67</v>
    <v>270.97000000000003</v>
    <v>14776350000</v>
    <v>AAPL</v>
    <v>APPLE INC. (XNAS:AAPL)</v>
    <v>180809</v>
    <v>47373906</v>
    <v>1977</v>
  </rv>
  <rv s="2">
    <v>77</v>
  </rv>
  <rv s="9">
    <v>en-US</v>
    <v>c8aoz2</v>
    <v>268435456</v>
    <v>1</v>
    <v>Powered by Refinitiv</v>
    <v>24</v>
    <v>GrnShs:2x Lg NVDA Dly (XNAS:NVDL)</v>
    <v>6</v>
    <v>25</v>
    <v>Finance</v>
    <v>12</v>
    <v>118.5</v>
    <v>23.123100000000001</v>
    <v>2.39</v>
    <v>2.8694999999999998E-2</v>
    <v>USD</v>
    <v>Nasdaq Stock Market</v>
    <v>XNAS</v>
    <v>1.0500000000000001E-2</v>
    <v>86.176199999999994</v>
    <v>ETF</v>
    <v>46014.041621469529</v>
    <v>84.54</v>
    <v>4277700072.23</v>
    <v>GrnShs:2x Lg NVDA Dly</v>
    <v>85.97</v>
    <v>83.29</v>
    <v>85.68</v>
    <v>NVDL</v>
    <v>GrnShs:2x Lg NVDA Dly (XNAS:NVDL)</v>
    <v>268104</v>
    <v>13429400</v>
  </rv>
  <rv s="2">
    <v>79</v>
  </rv>
  <rv s="0">
    <v>https://www.bing.com/financeapi/forcetrigger?t=bwxxoc&amp;q=XNAS%3aSOFI&amp;form=skydnc</v>
    <v>Learn more on Bing</v>
  </rv>
  <rv s="1">
    <v>en-US</v>
    <v>bwxxoc</v>
    <v>268435456</v>
    <v>1</v>
    <v>Powered by Refinitiv</v>
    <v>0</v>
    <v>SOFI TECHNOLOGIES, INC. (XNAS:SOFI)</v>
    <v>2</v>
    <v>3</v>
    <v>Finance</v>
    <v>4</v>
    <v>32.729999999999997</v>
    <v>8.6</v>
    <v>1.9239999999999999</v>
    <v>0.11</v>
    <v>4.0379999999999999E-3</v>
    <v>USD</v>
    <v>SoFi Technologies, Inc. is a member-centric, one-stop shop for digital financial services. The Company, through its lending and financial services products, allows members to borrow, save, spend, invest and protect their money. The Company's segments include Lending, Technology Platform and Financial Services. The Lending segment offers personal loans, student loans, home loans and related servicing to help its members with a variety of financial needs. Its platform supports the full transaction lifecycle, including credit application, underwriting, approval, funding and servicing. The Technology Platform segment provides services through a diversified suite of offerings which include an event and authorization platform accessed via application programming interfaces, a cloud-native digital and core banking platform and services related to both platforms. The Financial Services segment offers a suite of financial services solutions, including SoFi Money and SoFi Invest.</v>
    <v>5000</v>
    <v>Nasdaq Stock Market</v>
    <v>XNAS</v>
    <v>XNAS</v>
    <v>234 1st Street, SAN FRANCISCO, CA, 94105 US</v>
    <v>27.62</v>
    <v>Banking Services</v>
    <v>Stock</v>
    <v>46014.041643182813</v>
    <v>81</v>
    <v>27.1</v>
    <v>34334620000</v>
    <v>SOFI TECHNOLOGIES, INC.</v>
    <v>SOFI TECHNOLOGIES, INC.</v>
    <v>27.594999999999999</v>
    <v>50.041200000000003</v>
    <v>27.24</v>
    <v>27.35</v>
    <v>1260448000</v>
    <v>SOFI</v>
    <v>SOFI TECHNOLOGIES, INC. (XNAS:SOFI)</v>
    <v>180012</v>
    <v>60415607</v>
    <v>2021</v>
  </rv>
  <rv s="2">
    <v>82</v>
  </rv>
  <rv s="0">
    <v>https://www.bing.com/financeapi/forcetrigger?t=a22wz2&amp;q=XNYS%3aSHOP&amp;form=skydnc</v>
    <v>Learn more on Bing</v>
  </rv>
  <rv s="1">
    <v>en-US</v>
    <v>a22wz2</v>
    <v>268435456</v>
    <v>1</v>
    <v>Powered by Refinitiv</v>
    <v>0</v>
    <v>SHOPIFY INC. (XNAS:SHOP)</v>
    <v>2</v>
    <v>3</v>
    <v>Finance</v>
    <v>4</v>
    <v>182.19</v>
    <v>69.84</v>
    <v>2.8376000000000001</v>
    <v>0.1</v>
    <v>5.8969999999999997E-4</v>
    <v>USD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Nasdaq Stock Market</v>
    <v>XNAS</v>
    <v>XNAS</v>
    <v>151 O'connor Street, Ground Floor, OTTAWA, ON, K2P 2L8 CA</v>
    <v>172.98</v>
    <v>Software &amp; IT Services</v>
    <v>Stock</v>
    <v>46014.041153610939</v>
    <v>84</v>
    <v>169.55</v>
    <v>220883701809</v>
    <v>SHOPIFY INC.</v>
    <v>SHOPIFY INC.</v>
    <v>172.71</v>
    <v>125.29259999999999</v>
    <v>169.57</v>
    <v>169.67</v>
    <v>1301843000</v>
    <v>SHOP</v>
    <v>SHOPIFY INC. (XNAS:SHOP)</v>
    <v>5795</v>
    <v>8010160</v>
    <v>2004</v>
  </rv>
  <rv s="2">
    <v>85</v>
  </rv>
  <rv s="0">
    <v>https://www.bing.com/financeapi/forcetrigger?t=a1ntlh&amp;q=XNAS%3aASML&amp;form=skydnc</v>
    <v>Learn more on Bing</v>
  </rv>
  <rv s="1">
    <v>en-US</v>
    <v>a1ntlh</v>
    <v>268435456</v>
    <v>1</v>
    <v>Powered by Refinitiv</v>
    <v>0</v>
    <v>ASML Holding NV (XNAS:ASML)</v>
    <v>2</v>
    <v>3</v>
    <v>Finance</v>
    <v>4</v>
    <v>1141.7190000000001</v>
    <v>578.51</v>
    <v>1.8628</v>
    <v>0.96</v>
    <v>9.0910000000000003E-4</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43461</v>
    <v>Nasdaq Stock Market</v>
    <v>XNAS</v>
    <v>XNAS</v>
    <v>De Run 6501, VELDHOVEN, NOORD-BRABANT, 5504 DR NL</v>
    <v>1067.155</v>
    <v>Semiconductors &amp; Semiconductor Equipment</v>
    <v>Stock</v>
    <v>46014.040130763278</v>
    <v>87</v>
    <v>1050</v>
    <v>410180800000</v>
    <v>ASML Holding NV</v>
    <v>ASML Holding NV</v>
    <v>1066</v>
    <v>37.295200000000001</v>
    <v>1056.02</v>
    <v>1056.98</v>
    <v>388147700</v>
    <v>ASML</v>
    <v>ASML Holding NV (XNAS:ASML)</v>
    <v>3847</v>
    <v>1516470</v>
    <v>1994</v>
  </rv>
  <rv s="2">
    <v>88</v>
  </rv>
  <rv s="0">
    <v>https://www.bing.com/financeapi/forcetrigger?t=a1retc&amp;q=XNYS%3aDELL&amp;form=skydnc</v>
    <v>Learn more on Bing</v>
  </rv>
  <rv s="1">
    <v>en-US</v>
    <v>a1retc</v>
    <v>268435456</v>
    <v>1</v>
    <v>Powered by Refinitiv</v>
    <v>0</v>
    <v>DELL TECHNOLOGIES INC. (XNYS:DELL)</v>
    <v>2</v>
    <v>3</v>
    <v>Finance</v>
    <v>4</v>
    <v>168.08</v>
    <v>66.245000000000005</v>
    <v>1.0221</v>
    <v>0.19</v>
    <v>1.503E-3</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108000</v>
    <v>New York Stock Exchange</v>
    <v>XNYS</v>
    <v>XNYS</v>
    <v>ONE DELL WAY, ROUND ROCK, TX, 78682 US</v>
    <v>128.85</v>
    <v>Computers, Phones &amp; Household Electronics</v>
    <v>Stock</v>
    <v>46014.041438842185</v>
    <v>90</v>
    <v>125.36</v>
    <v>83903130256</v>
    <v>DELL TECHNOLOGIES INC.</v>
    <v>DELL TECHNOLOGIES INC.</v>
    <v>128.77000000000001</v>
    <v>16.519200000000001</v>
    <v>126.42</v>
    <v>126.61</v>
    <v>662689600</v>
    <v>DELL</v>
    <v>DELL TECHNOLOGIES INC. (XNYS:DELL)</v>
    <v>5827</v>
    <v>7734482</v>
    <v>2013</v>
  </rv>
  <rv s="2">
    <v>91</v>
  </rv>
  <rv s="0">
    <v>https://www.bing.com/financeapi/forcetrigger?t=c27jhw&amp;q=XNAS%3aMNDY&amp;form=skydnc</v>
    <v>Learn more on Bing</v>
  </rv>
  <rv s="1">
    <v>en-US</v>
    <v>c27jhw</v>
    <v>268435456</v>
    <v>1</v>
    <v>Powered by Refinitiv</v>
    <v>0</v>
    <v>MONDAY.COM LTD (XNAS:MNDY)</v>
    <v>2</v>
    <v>3</v>
    <v>Finance</v>
    <v>4</v>
    <v>342.64</v>
    <v>141.19999999999999</v>
    <v>1.2567999999999999</v>
    <v>1.07</v>
    <v>7.2750000000000002E-3</v>
    <v>USD</v>
    <v>Monday.Com Ltd is an Israel-based company engaged primarily in the software sector. The Company provides cloud-based platform that enables its users to create custom applications and project management software. The platform offers a Work Operating System (Work OS) that provides modular building blocks to create software applications and work management tools. This system is designed to enhance team collaboration and streamline workflows across various business functions, including project management, CRM, marketing, and more. The Company has teams in Tel Aviv, New York, San Francisco, Miami, Chicago, London, Kiev, and Sydney. The Company customize its platform to suit any business vertical and serves customers worldwide.</v>
    <v>2508</v>
    <v>Nasdaq Stock Market</v>
    <v>XNAS</v>
    <v>XNAS</v>
    <v>6 Yitzhak Sadeh Street, TEL AVIV-YAFO, 677750 IL</v>
    <v>151.46</v>
    <v>Software &amp; IT Services</v>
    <v>Stock</v>
    <v>46014.034295046091</v>
    <v>93</v>
    <v>147.75</v>
    <v>7637348799</v>
    <v>MONDAY.COM LTD</v>
    <v>MONDAY.COM LTD</v>
    <v>149.5</v>
    <v>120.78400000000001</v>
    <v>147.08000000000001</v>
    <v>148.15</v>
    <v>51551460</v>
    <v>MNDY</v>
    <v>MONDAY.COM LTD (XNAS:MNDY)</v>
    <v>4279</v>
    <v>1226896</v>
    <v>2012</v>
  </rv>
  <rv s="2">
    <v>94</v>
  </rv>
  <rv s="0">
    <v>https://www.bing.com/financeapi/forcetrigger?t=c1tsrw&amp;q=XNAS%3aPGY&amp;form=skydnc</v>
    <v>Learn more on Bing</v>
  </rv>
  <rv s="1">
    <v>en-US</v>
    <v>c1tsrw</v>
    <v>268435456</v>
    <v>1</v>
    <v>Powered by Refinitiv</v>
    <v>0</v>
    <v>PAGAYA TECHNOLOGIES LTD (XNAS:PGY)</v>
    <v>2</v>
    <v>3</v>
    <v>Finance</v>
    <v>4</v>
    <v>44.99</v>
    <v>8.27</v>
    <v>5.8722000000000003</v>
    <v>0.45</v>
    <v>1.9694E-2</v>
    <v>USD</v>
    <v>Pagaya Technologies Ltd is an Israel-based company. It is primarily engaged in financial technology (FinTech) industry. The Company develops data science, machine learning and AI technology (Artificial Intelligence) analytics, enabling accurate, real-time customer credit assessments. Company's customers are lending companies that, by connecting to the AI Pagaya network, have the opportunity to discover and approve new customers that meet their credit criteria. Thanks to the Company's solutions, its customers gains a customer without undue risk. Pagaya Technologies Ltd delivers technology that provides loan assistance such as personal, car and credit card loans. The Company serves its clients all over the world.</v>
    <v>553</v>
    <v>Nasdaq Stock Market</v>
    <v>XNAS</v>
    <v>XNAS</v>
    <v>121 Menachem Begin Rd., 54Th Floor, TEL AVIV-YAFO IL</v>
    <v>24.06</v>
    <v>Financial Technology (Fintech) &amp; Infrastructure</v>
    <v>Stock</v>
    <v>46014.040426053129</v>
    <v>96</v>
    <v>22.7501</v>
    <v>1873225402</v>
    <v>PAGAYA TECHNOLOGIES LTD</v>
    <v>PAGAYA TECHNOLOGIES LTD</v>
    <v>23.07</v>
    <v>0</v>
    <v>22.85</v>
    <v>23.3</v>
    <v>80395940</v>
    <v>PGY</v>
    <v>PAGAYA TECHNOLOGIES LTD (XNAS:PGY)</v>
    <v>36775</v>
    <v>2848499</v>
    <v>2016</v>
  </rv>
  <rv s="2">
    <v>97</v>
  </rv>
  <rv s="0">
    <v>https://www.bing.com/financeapi/forcetrigger?t=a2aiur&amp;q=OTCM%3aBRPHF&amp;form=skydnc</v>
    <v>Learn more on Bing</v>
  </rv>
  <rv s="1">
    <v>en-US</v>
    <v>a2aiur</v>
    <v>268435456</v>
    <v>1</v>
    <v>Powered by Refinitiv</v>
    <v>0</v>
    <v>GALAXY DIGITAL INC. (XNAS:GLXY)</v>
    <v>2</v>
    <v>3</v>
    <v>Finance</v>
    <v>4</v>
    <v>45.92</v>
    <v>8.1999999999999993</v>
    <v>3.8658000000000001</v>
    <v>0.61</v>
    <v>2.5417000000000002E-2</v>
    <v>USD</v>
    <v>Galaxy Digital Inc. is engaged in the business of digital assets and data center infrastructure, delivering solutions that accelerate progress in finance and artificial intelligence (AI). The Company's digital assets platform offers institutional access to trading, advisory, asset management, staking, self-custody, and tokenization technology. In addition, it develops and operates data center infrastructure to power AI and high-performance computing workloads. The Company's segments include Digital Assets, Data Centers, and Treasury and Corporate. Its Digital Assets operating business segment provides new products and capabilities such as staking, margin-based financing and active exchange-traded funds. The Data Centers segment comprises the Helios infrastructure assets. Its Data Centers segment develops and operates High Performance Computing (HPC) infrastructure to meet the growing demand for large-scale, power-ready facilities in the AI/HPC industry.</v>
    <v>520</v>
    <v>Nasdaq Stock Market</v>
    <v>XNAS</v>
    <v>XNAS</v>
    <v>300 Vesey Street, 13Th Floor, NEW YORK, NY, 10282 US</v>
    <v>25.43</v>
    <v>Investment Banking &amp; Investment Services</v>
    <v>Stock</v>
    <v>46014.040740312499</v>
    <v>99</v>
    <v>24.23</v>
    <v>9517875663</v>
    <v>GALAXY DIGITAL INC.</v>
    <v>GALAXY DIGITAL INC.</v>
    <v>24.51</v>
    <v>0</v>
    <v>24</v>
    <v>24.61</v>
    <v>386748300</v>
    <v>GLXY</v>
    <v>GALAXY DIGITAL INC. (XNAS:GLXY)</v>
    <v>12994</v>
    <v>8270080</v>
    <v>2021</v>
  </rv>
  <rv s="2">
    <v>100</v>
  </rv>
  <rv s="0">
    <v>https://www.bing.com/financeapi/forcetrigger?t=a24xlh&amp;q=XNYS%3aUNH&amp;form=skydnc</v>
    <v>Learn more on Bing</v>
  </rv>
  <rv s="1">
    <v>en-US</v>
    <v>a24xlh</v>
    <v>268435456</v>
    <v>1</v>
    <v>Powered by Refinitiv</v>
    <v>0</v>
    <v>UNITEDHEALTH GROUP INCORPORATED (XNYS:UNH)</v>
    <v>2</v>
    <v>3</v>
    <v>Finance</v>
    <v>4</v>
    <v>606.36</v>
    <v>234.6</v>
    <v>0.42659999999999998</v>
    <v>-2.2599999999999998</v>
    <v>-6.9020000000000001E-3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400000</v>
    <v>New York Stock Exchange</v>
    <v>XNYS</v>
    <v>XNYS</v>
    <v>1 HEALTH DRIVE, EDEN PRAIRIE, MN, 55344 US</v>
    <v>329.8</v>
    <v>Healthcare Providers &amp; Services</v>
    <v>Stock</v>
    <v>46014.041585728904</v>
    <v>102</v>
    <v>321.64999999999998</v>
    <v>294542479176</v>
    <v>UNITEDHEALTH GROUP INCORPORATED</v>
    <v>UNITEDHEALTH GROUP INCORPORATED</v>
    <v>322.89999999999998</v>
    <v>16.963000000000001</v>
    <v>327.42</v>
    <v>325.16000000000003</v>
    <v>905838600</v>
    <v>UNH</v>
    <v>UNITEDHEALTH GROUP INCORPORATED (XNYS:UNH)</v>
    <v>22098</v>
    <v>7016616</v>
    <v>2015</v>
  </rv>
  <rv s="2">
    <v>103</v>
  </rv>
  <rv s="0">
    <v>https://www.bing.com/financeapi/forcetrigger?t=c1dbvh&amp;q=XNYS%3aPATH&amp;form=skydnc</v>
    <v>Learn more on Bing</v>
  </rv>
  <rv s="1">
    <v>en-US</v>
    <v>c1dbvh</v>
    <v>268435456</v>
    <v>1</v>
    <v>Powered by Refinitiv</v>
    <v>0</v>
    <v>UIPATH, INC. (XNYS:PATH)</v>
    <v>2</v>
    <v>3</v>
    <v>Finance</v>
    <v>4</v>
    <v>19.84</v>
    <v>9.3800000000000008</v>
    <v>1.0783</v>
    <v>0.58499999999999996</v>
    <v>3.6290000000000003E-2</v>
    <v>USD</v>
    <v>UiPath, Inc. is an enterprise automation and artificial intelligence (AI) software company. The Company is focused on building and managing automations, starting with computer vision technology and user interface automations in its initial robotic process automation (RPA) offering. Its AI-powered UiPath Platform offers a robust set of capabilities that allows its customers to discover opportunities for automation, automate using a digital workforce that seamlessly collaborates with humans, and operate a mission critical automation program at scale. It enables employees to quickly build automations for both existing and new processes and to automate an array of actions, including logging into applications, extracting information from documents, moving folders, filling in forms, reading emails, and updating information fields and databases. Its platform allows users to design and combine UI automations, API integrations, and AI-based document understanding in a single workflow.</v>
    <v>3868</v>
    <v>New York Stock Exchange</v>
    <v>XNYS</v>
    <v>XNYS</v>
    <v>One Vanderbilt Avenue, 60th Floor, NEW YORK, NY, 10017 US</v>
    <v>16.824999999999999</v>
    <v>Software &amp; IT Services</v>
    <v>Stock</v>
    <v>46014.041657673435</v>
    <v>105</v>
    <v>16.22</v>
    <v>8932993738</v>
    <v>UIPATH, INC.</v>
    <v>UIPATH, INC.</v>
    <v>16.559999999999999</v>
    <v>39.761899999999997</v>
    <v>16.12</v>
    <v>16.704999999999998</v>
    <v>534749700</v>
    <v>PATH</v>
    <v>UIPATH, INC. (XNYS:PATH)</v>
    <v>138012</v>
    <v>22493450</v>
    <v>2015</v>
  </rv>
  <rv s="2">
    <v>106</v>
  </rv>
  <rv s="0">
    <v>https://www.bing.com/financeapi/forcetrigger?t=bo5fpr&amp;q=XNAS%3aMRNA&amp;form=skydnc</v>
    <v>Learn more on Bing</v>
  </rv>
  <rv s="1">
    <v>en-US</v>
    <v>bo5fpr</v>
    <v>268435456</v>
    <v>1</v>
    <v>Powered by Refinitiv</v>
    <v>0</v>
    <v>MODERNA, INC. (XNAS:MRNA)</v>
    <v>2</v>
    <v>3</v>
    <v>Finance</v>
    <v>4</v>
    <v>48.92</v>
    <v>22.28</v>
    <v>1.1516999999999999</v>
    <v>1.1000000000000001</v>
    <v>3.2543999999999997E-2</v>
    <v>USD</v>
    <v>Moderna, Inc. is a biotechnology company. The Company is advancing a new class of medicines made of messenger ribonucleic acid (mRNA). It is developing therapeutics and vaccines for infectious diseases, immuno-oncology, rare diseases and autoimmune diseases. mRNA medicines are designed to direct the body’s cells to produce intracellular, membrane or secreted proteins that have a therapeutic or preventive benefit with the potential to address a spectrum of diseases. The Company’s diverse development pipeline consists of 44 therapeutic and vaccine programs, 11 of which are in late-stage development. Its commercial products include Spikevax (its COVID vaccine) and mRESVIA (its respiratory syncytial virus (RSV) vaccine). Additionally, it has achieved four positive Phase III data readouts for its COVID vaccine (mRNA-1283), its RSV vaccine for high-risk adults aged 18 to 59 (mRNA-1345), its seasonal flu+COVID vaccine (mRNA-1083), and its seasonal flu vaccine (mRNA-1010).</v>
    <v>5800</v>
    <v>Nasdaq Stock Market</v>
    <v>XNAS</v>
    <v>XNAS</v>
    <v>325 BINNEY STREET, Cambridge, MA, 02142 US</v>
    <v>35.9</v>
    <v>Pharmaceuticals</v>
    <v>Stock</v>
    <v>46014.041115312502</v>
    <v>108</v>
    <v>33.32</v>
    <v>13634714550</v>
    <v>MODERNA, INC.</v>
    <v>MODERNA, INC.</v>
    <v>33.590000000000003</v>
    <v>0</v>
    <v>33.799999999999997</v>
    <v>34.9</v>
    <v>390679500</v>
    <v>MRNA</v>
    <v>MODERNA, INC. (XNAS:MRNA)</v>
    <v>43713</v>
    <v>10716932</v>
    <v>2016</v>
  </rv>
  <rv s="2">
    <v>109</v>
  </rv>
  <rv s="0">
    <v>https://www.bing.com/financeapi/forcetrigger?t=a1zqnm&amp;q=XNYS%3aPFE&amp;form=skydnc</v>
    <v>Learn more on Bing</v>
  </rv>
  <rv s="1">
    <v>en-US</v>
    <v>a1zqnm</v>
    <v>268435456</v>
    <v>1</v>
    <v>Powered by Refinitiv</v>
    <v>0</v>
    <v>PFIZER INC. (XNYS:PFE)</v>
    <v>2</v>
    <v>3</v>
    <v>Finance</v>
    <v>4</v>
    <v>27.69</v>
    <v>20.914999999999999</v>
    <v>0.43120000000000003</v>
    <v>0.02</v>
    <v>7.94E-4</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BeneFIX, Xyntha, Somavert, Ngenla, Hympavzi, Sulperazon, Zavicefta, Octagam and others.</v>
    <v>81000</v>
    <v>New York Stock Exchange</v>
    <v>XNYS</v>
    <v>XNYS</v>
    <v>66 HUDSON BOULEVARD EAST, NEW YORK, NY, 10001-2192 US</v>
    <v>25.4</v>
    <v>Pharmaceuticals</v>
    <v>Stock</v>
    <v>46014.041451029691</v>
    <v>111</v>
    <v>25.13</v>
    <v>143336698680</v>
    <v>PFIZER INC.</v>
    <v>PFIZER INC.</v>
    <v>25.2</v>
    <v>14.694699999999999</v>
    <v>25.19</v>
    <v>25.21</v>
    <v>5685708000</v>
    <v>PFE</v>
    <v>PFIZER INC. (XNYS:PFE)</v>
    <v>73637</v>
    <v>54487026</v>
    <v>1942</v>
  </rv>
  <rv s="2">
    <v>112</v>
  </rv>
  <rv s="13">
    <v>en-US</v>
    <v>c9t5ww</v>
    <v>268435456</v>
    <v>1</v>
    <v>Powered by Refinitiv</v>
    <v>31</v>
    <v>SEALSQ Corp (XNAS:LAES)</v>
    <v>14</v>
    <v>3</v>
    <v>Finance</v>
    <v>4</v>
    <v>11</v>
    <v>1.99</v>
    <v>0.72</v>
    <v>0.22</v>
    <v>5.2381000000000004E-2</v>
    <v>USD</v>
    <v>Sealsq Corp is a Switzerland based holding company operating primarily in the semiconductor industry. The Company focuses on developing and selling tamper resistant semiconductors, chips, processors and Post-Quantum technology products. The Company also develops certified secure microcontrollers and implement post-quantum cryptography also secure hardware, firmware, and provides other services for customers across multiple industries. The Company’s products are applicable in consumer electronics, aerospace &amp; military, telecommunications, energy and building, logistics, and medical sectors. The Company offers its solutions across the globe: USA, Canada, Europe, Middle East, Asia and Australia.</v>
    <v>67</v>
    <v>Nasdaq Stock Market</v>
    <v>XNAS</v>
    <v>XNAS</v>
    <v>Avenue Louis-Casai 58, COINTRIN, GENEVE, 1216 CH</v>
    <v>4.76</v>
    <v>Semiconductors &amp; Semiconductor Equipment</v>
    <v>Stock</v>
    <v>46014.041612372654</v>
    <v>4.2900999999999998</v>
    <v>784112420</v>
    <v>SEALSQ Corp</v>
    <v>SEALSQ Corp</v>
    <v>4.3099999999999996</v>
    <v>0</v>
    <v>4.2</v>
    <v>4.42</v>
    <v>177401000</v>
    <v>LAES</v>
    <v>SEALSQ Corp (XNAS:LAES)</v>
    <v>363079</v>
    <v>12958277</v>
    <v>2022</v>
  </rv>
  <rv s="2">
    <v>114</v>
  </rv>
  <rv s="0">
    <v>https://www.bing.com/financeapi/forcetrigger?t=b116bh&amp;q=XNAS%3aWKEY&amp;form=skydnc</v>
    <v>Learn more on Bing</v>
  </rv>
  <rv s="1">
    <v>en-US</v>
    <v>b116bh</v>
    <v>268435456</v>
    <v>1</v>
    <v>Powered by Refinitiv</v>
    <v>0</v>
    <v>WISeKey International Holding Ltd (XNAS:WKEY)</v>
    <v>2</v>
    <v>3</v>
    <v>Finance</v>
    <v>4</v>
    <v>19.8</v>
    <v>2.5</v>
    <v>0.42380000000000001</v>
    <v>1.48</v>
    <v>0.19473700000000002</v>
    <v>USD</v>
    <v>Wisekey International Holding AG is a Switzerland-based e-security company. It offers secure communication solutions for physical infrastructures, mobile networks and the Web, and helps protecting corporate data with archiving, invoicing and other security technologies, securing mobile phone communications and data, among others. The Company also provides identification and authentication solutions, and serves clients from various industries, including defense, health, education, finance, and government. Its product portfolio includes, among others, WISFans, which delivers customized sport contents, WISeID, which is an encryption solution to store usernames, passwords, personal identification numbers (PINs), credit cards, loyalty cards, notes, and other critical information, WISePhone for securing privacy in the area of mobile communication, and WISeAuthentic, which is an anti-counterfeiting and sales monitoring system.</v>
    <v>10</v>
    <v>Nasdaq Stock Market</v>
    <v>XNAS</v>
    <v>XNAS</v>
    <v>General-Guisan-Strasse 6, ZUG, ZUG, 6300 CH</v>
    <v>9.73</v>
    <v>Semiconductors &amp; Semiconductor Equipment</v>
    <v>Stock</v>
    <v>46014.035166921094</v>
    <v>116</v>
    <v>8.41</v>
    <v>65580200</v>
    <v>WISeKey International Holding Ltd</v>
    <v>WISeKey International Holding Ltd</v>
    <v>8.5500000000000007</v>
    <v>0</v>
    <v>7.6</v>
    <v>9.08</v>
    <v>4080550</v>
    <v>WKEY</v>
    <v>WISeKey International Holding Ltd (XNAS:WKEY)</v>
    <v>15292</v>
    <v>331307</v>
    <v>2015</v>
  </rv>
  <rv s="2">
    <v>117</v>
  </rv>
  <rv s="0">
    <v>https://www.bing.com/financeapi/forcetrigger?t=a1wzw7&amp;q=XNYS%3aLMT&amp;form=skydnc</v>
    <v>Learn more on Bing</v>
  </rv>
  <rv s="1">
    <v>en-US</v>
    <v>a1wzw7</v>
    <v>268435456</v>
    <v>1</v>
    <v>Powered by Refinitiv</v>
    <v>0</v>
    <v>LOCKHEED MARTIN CORPORATION (XNYS:LMT)</v>
    <v>2</v>
    <v>3</v>
    <v>Finance</v>
    <v>4</v>
    <v>516</v>
    <v>410.11</v>
    <v>0.24709999999999999</v>
    <v>9.44</v>
    <v>1.9910000000000001E-2</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121000</v>
    <v>New York Stock Exchange</v>
    <v>XNYS</v>
    <v>XNYS</v>
    <v>6801 ROCKLEDGE DR, BETHESDA, MD, 20817 US</v>
    <v>485.02</v>
    <v>Aerospace &amp; Defense</v>
    <v>Stock</v>
    <v>46014.040635543752</v>
    <v>119</v>
    <v>474.96</v>
    <v>109712600000</v>
    <v>LOCKHEED MARTIN CORPORATION</v>
    <v>LOCKHEED MARTIN CORPORATION</v>
    <v>474.96</v>
    <v>26.9373</v>
    <v>474.13</v>
    <v>483.57</v>
    <v>231397800</v>
    <v>LMT</v>
    <v>LOCKHEED MARTIN CORPORATION (XNYS:LMT)</v>
    <v>1620</v>
    <v>1447738</v>
    <v>1994</v>
  </rv>
  <rv s="2">
    <v>120</v>
  </rv>
  <rv s="0">
    <v>https://www.bing.com/financeapi/forcetrigger?t=a22m27&amp;q=ARCX%3aSCHD&amp;form=skydnc</v>
    <v>Learn more on Bing</v>
  </rv>
  <rv s="4">
    <v>en-US</v>
    <v>a22m27</v>
    <v>268435456</v>
    <v>1</v>
    <v>Powered by Refinitiv</v>
    <v>9</v>
    <v>Schwab Str:US Div Eq ETF (ARCX:SCHD)</v>
    <v>10</v>
    <v>11</v>
    <v>Finance</v>
    <v>12</v>
    <v>28.844999999999999</v>
    <v>23.87</v>
    <v>0.90910000000000002</v>
    <v>0.16</v>
    <v>5.8269999999999997E-3</v>
    <v>USD</v>
    <v>NYSE Arca</v>
    <v>ARCX</v>
    <v>5.9999999999999995E-4</v>
    <v>27.667300000000001</v>
    <v>ETF</v>
    <v>46014.041667534373</v>
    <v>122</v>
    <v>27.5</v>
    <v>71151729093.720001</v>
    <v>Schwab Str:US Div Eq ETF</v>
    <v>27.53</v>
    <v>27.46</v>
    <v>27.62</v>
    <v>SCHD</v>
    <v>Schwab Str:US Div Eq ETF (ARCX:SCHD)</v>
    <v>116202</v>
    <v>18525271</v>
  </rv>
  <rv s="2">
    <v>123</v>
  </rv>
  <rv s="0">
    <v>https://www.bing.com/financeapi/forcetrigger?t=a1vxfr&amp;q=ARCX%3aIWM&amp;form=skydnc</v>
    <v>Learn more on Bing</v>
  </rv>
  <rv s="4">
    <v>en-US</v>
    <v>a1vxfr</v>
    <v>268435456</v>
    <v>1</v>
    <v>Powered by Refinitiv</v>
    <v>9</v>
    <v>iShares:Russ 2000 ETF (ARCX:IWM)</v>
    <v>10</v>
    <v>11</v>
    <v>Finance</v>
    <v>12</v>
    <v>258.2</v>
    <v>171.73</v>
    <v>0.99909999999999999</v>
    <v>2.79</v>
    <v>1.1125000000000001E-2</v>
    <v>USD</v>
    <v>NYSE Arca</v>
    <v>ARCX</v>
    <v>1.9E-3</v>
    <v>255.11500000000001</v>
    <v>ETF</v>
    <v>46014.041667580466</v>
    <v>125</v>
    <v>252.2</v>
    <v>72480933964.770004</v>
    <v>iShares:Russ 2000 ETF</v>
    <v>252.28</v>
    <v>250.79</v>
    <v>253.58</v>
    <v>IWM</v>
    <v>iShares:Russ 2000 ETF (ARCX:IWM)</v>
    <v>201846</v>
    <v>45711174</v>
  </rv>
  <rv s="2">
    <v>126</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10">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0">
      <v t="s">%EntityServiceId</v>
      <v t="s">_Format</v>
      <v t="s">%IsRefreshable</v>
      <v t="s">%EntityCulture</v>
      <v t="s">%EntityId</v>
      <v t="s">_Icon</v>
      <v t="s">_Display</v>
      <v t="s">Name</v>
      <v t="s">Price</v>
      <v t="s">Exchange</v>
      <v t="s">_SubLabel</v>
      <v t="s">Last trade time</v>
      <v t="s">Ticker symbol</v>
      <v t="s">Exchange abbreviation</v>
      <v t="s">Change</v>
      <v t="s">Expense ratio</v>
      <v t="s">Change (%)</v>
      <v t="s">Currency</v>
      <v t="s">Previous close</v>
      <v t="s">Open</v>
      <v t="s">High</v>
      <v t="s">Low</v>
      <v t="s">Volume</v>
      <v t="s">Market cap</v>
      <v t="s">Instrument type</v>
      <v t="s">_Flags</v>
      <v t="s">UniqueName</v>
      <v t="s">_DisplayString</v>
      <v t="s">LearnMoreOnLink</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32">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v>
      <v>Name</v>
    </spb>
    <spb s="6">
      <v>1</v>
      <v>1</v>
    </spb>
    <spb s="7">
      <v>10</v>
      <v>10</v>
      <v>3</v>
      <v>10</v>
      <v>10</v>
      <v>10</v>
      <v>5</v>
      <v>10</v>
      <v>10</v>
      <v>10</v>
      <v>7</v>
      <v>9</v>
    </spb>
    <spb s="8">
      <v>GMT</v>
    </spb>
    <spb s="0">
      <v>2</v>
      <v>Name</v>
      <v>LearnMoreOnLink</v>
    </spb>
    <spb s="9">
      <v>1</v>
      <v>1</v>
      <v>1</v>
    </spb>
    <spb s="10">
      <v>1</v>
      <v>2</v>
      <v>1</v>
      <v>3</v>
      <v>1</v>
      <v>1</v>
      <v>1</v>
      <v>4</v>
      <v>5</v>
      <v>6</v>
      <v>1</v>
      <v>1</v>
      <v>5</v>
      <v>1</v>
      <v>4</v>
      <v>7</v>
      <v>9</v>
    </spb>
    <spb s="11">
      <v>Real-Time Nasdaq Last Sale</v>
      <v>from previous close</v>
      <v>Source: Nasdaq Last Sale</v>
      <v>from previous close</v>
      <v>GMT</v>
    </spb>
    <spb s="5">
      <v>3</v>
      <v>Name</v>
    </spb>
    <spb s="12">
      <v>1</v>
      <v>1</v>
      <v>1</v>
    </spb>
    <spb s="13">
      <v>1</v>
      <v>2</v>
      <v>2</v>
      <v>1</v>
      <v>3</v>
      <v>1</v>
      <v>1</v>
      <v>1</v>
      <v>4</v>
      <v>5</v>
      <v>6</v>
      <v>1</v>
      <v>1</v>
      <v>1</v>
      <v>4</v>
      <v>7</v>
      <v>8</v>
      <v>9</v>
      <v>4</v>
    </spb>
    <spb s="0">
      <v>4</v>
      <v>Name</v>
      <v>LearnMoreOnLink</v>
    </spb>
    <spb s="14">
      <v>1</v>
      <v>2</v>
      <v>1</v>
      <v>3</v>
      <v>1</v>
      <v>1</v>
      <v>1</v>
      <v>4</v>
      <v>5</v>
      <v>6</v>
      <v>1</v>
      <v>1</v>
      <v>5</v>
      <v>1</v>
      <v>7</v>
      <v>9</v>
    </spb>
    <spb s="11">
      <v>Delayed 15 minutes</v>
      <v>from previous close</v>
      <v>LSE</v>
      <v>from previous close</v>
      <v>GMT</v>
    </spb>
    <spb s="0">
      <v>5</v>
      <v>Name</v>
      <v>LearnMoreOnLink</v>
    </spb>
    <spb s="15">
      <v>11</v>
      <v>11</v>
      <v>3</v>
      <v>11</v>
      <v>11</v>
      <v>11</v>
      <v>4</v>
      <v>5</v>
      <v>12</v>
      <v>5</v>
      <v>11</v>
      <v>7</v>
      <v>9</v>
    </spb>
    <spb s="16">
      <v>from previous close</v>
      <v>from previous close</v>
      <v>GMT</v>
    </spb>
    <spb s="5">
      <v>6</v>
      <v>Name</v>
    </spb>
    <spb s="17">
      <v>13</v>
      <v>2</v>
      <v>13</v>
      <v>3</v>
      <v>13</v>
      <v>13</v>
      <v>13</v>
      <v>4</v>
      <v>4</v>
      <v>5</v>
      <v>6</v>
      <v>13</v>
      <v>13</v>
      <v>13</v>
      <v>4</v>
      <v>7</v>
      <v>8</v>
      <v>9</v>
      <v>4</v>
    </spb>
    <spb s="5">
      <v>7</v>
      <v>Name</v>
    </spb>
    <spb s="18">
      <v>1</v>
      <v>1</v>
      <v>3</v>
      <v>1</v>
      <v>1</v>
      <v>1</v>
      <v>4</v>
      <v>5</v>
      <v>6</v>
      <v>1</v>
      <v>1</v>
      <v>5</v>
      <v>1</v>
      <v>4</v>
      <v>7</v>
      <v>9</v>
    </spb>
    <spb s="0">
      <v>8</v>
      <v>Name</v>
      <v>LearnMoreOnLink</v>
    </spb>
    <spb s="19">
      <v>0</v>
      <v>0</v>
    </spb>
    <spb s="20">
      <v>27</v>
      <v>1</v>
      <v>1</v>
      <v>1</v>
      <v>1</v>
    </spb>
    <spb s="21">
      <v>1</v>
      <v>2</v>
      <v>2</v>
      <v>1</v>
      <v>3</v>
      <v>1</v>
      <v>14</v>
      <v>1</v>
      <v>1</v>
      <v>4</v>
      <v>4</v>
      <v>5</v>
      <v>6</v>
      <v>1</v>
      <v>1</v>
      <v>1</v>
      <v>4</v>
      <v>7</v>
      <v>8</v>
      <v>9</v>
      <v>4</v>
    </spb>
    <spb s="22">
      <v>Powered by Refinitiv</v>
    </spb>
    <spb s="5">
      <v>9</v>
      <v>Name</v>
    </spb>
  </spbData>
</supportingPropertyBags>
</file>

<file path=xl/richData/rdsupportingpropertybagstructure.xml><?xml version="1.0" encoding="utf-8"?>
<spbStructures xmlns="http://schemas.microsoft.com/office/spreadsheetml/2017/richdata2" count="2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Market cap" t="i"/>
    <k n="Expense ratio" t="i"/>
    <k n="Previous close" t="i"/>
    <k n="Last trade time" t="i"/>
    <k n="`%EntityServiceId" t="i"/>
  </s>
  <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Market cap" t="i"/>
    <k n="52 week low" t="i"/>
    <k n="52 week high" t="i"/>
    <k n="Expense ratio" t="i"/>
    <k n="Previous close" t="i"/>
    <k n="Volume average" t="i"/>
    <k n="Last trade time" t="i"/>
    <k n="`%EntityServiceId"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35" formatCode="_(* #,##0.00_);_(* \(#,##0.00\);_(* &quot;-&quot;??_);_(@_)"/>
    </x:dxf>
    <x:dxf>
      <x:numFmt numFmtId="33" formatCode="_(* #,##0_);_(* \(#,##0\);_(* &quot;-&quot;_);_(@_)"/>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[$₪-he-IL] * #,##0.00_ ;_ [$₪-he-IL] * -#,##0.00_ ;_ [$₪-he-IL] * "-"??_ ;_ @_ </rpv>
    </rSty>
    <rSty dxfid="7">
      <rpv i="0">_(* #,##0.00_);_(* (#,##0.00);_(* "-"??_);_(@_)</rpv>
    </rSty>
    <rSty dxfid="8">
      <rpv i="0">_(* #,##0_);_(* (#,##0);_(* "-"_);_(@_)</rpv>
    </rSty>
    <rSty dxfid="1">
      <rpv i="0">_-[$$-en-CA]* #,##0.00_-;-[$$-en-CA]* #,##0.00_-;_-[$$-en-CA]* "-"??_-;_-@_-</rpv>
    </rSty>
    <rSty>
      <rpv i="2">1</rpv>
    </rSty>
  </richStyles>
</richStyleSheet>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2ABD-03F4-4D79-9D70-0BAF17F2DAAE}">
  <dimension ref="A1:Z66"/>
  <sheetViews>
    <sheetView tabSelected="1" topLeftCell="I6" zoomScaleNormal="100" workbookViewId="0">
      <selection activeCell="K11" sqref="K11"/>
    </sheetView>
  </sheetViews>
  <sheetFormatPr defaultRowHeight="13.8" x14ac:dyDescent="0.25"/>
  <cols>
    <col min="2" max="2" width="6.19921875" bestFit="1" customWidth="1"/>
    <col min="3" max="3" width="12.19921875" bestFit="1" customWidth="1"/>
    <col min="4" max="4" width="15.09765625" bestFit="1" customWidth="1"/>
    <col min="5" max="5" width="11.3984375" bestFit="1" customWidth="1"/>
    <col min="6" max="6" width="6.8984375" bestFit="1" customWidth="1"/>
    <col min="7" max="7" width="3.59765625" customWidth="1"/>
    <col min="8" max="8" width="13" style="35" bestFit="1" customWidth="1"/>
    <col min="9" max="9" width="12.296875" bestFit="1" customWidth="1"/>
    <col min="10" max="10" width="10" bestFit="1" customWidth="1"/>
    <col min="11" max="12" width="11.296875" bestFit="1" customWidth="1"/>
    <col min="13" max="13" width="14.09765625" bestFit="1" customWidth="1"/>
    <col min="14" max="14" width="8.09765625" hidden="1" customWidth="1"/>
    <col min="15" max="15" width="15.296875" bestFit="1" customWidth="1"/>
    <col min="16" max="16" width="12.09765625" bestFit="1" customWidth="1"/>
    <col min="17" max="17" width="13" bestFit="1" customWidth="1"/>
    <col min="18" max="18" width="12.19921875" bestFit="1" customWidth="1"/>
    <col min="19" max="19" width="13" customWidth="1"/>
    <col min="20" max="20" width="13.8984375" bestFit="1" customWidth="1"/>
    <col min="21" max="21" width="10.19921875" customWidth="1"/>
    <col min="22" max="22" width="3.19921875" bestFit="1" customWidth="1"/>
  </cols>
  <sheetData>
    <row r="1" spans="1:24" ht="16.2" thickBot="1" x14ac:dyDescent="0.4">
      <c r="A1" s="79"/>
      <c r="B1" s="79"/>
      <c r="C1" s="79"/>
      <c r="D1" s="79"/>
      <c r="E1" s="79"/>
      <c r="F1" s="79"/>
      <c r="G1" s="79"/>
      <c r="H1" s="78"/>
      <c r="I1" s="79"/>
      <c r="J1" s="79"/>
      <c r="K1" s="79"/>
      <c r="L1" s="121" t="s">
        <v>38</v>
      </c>
      <c r="M1" s="122"/>
      <c r="N1" s="83"/>
      <c r="O1" s="83"/>
      <c r="P1" s="83"/>
      <c r="Q1" s="121" t="s">
        <v>37</v>
      </c>
      <c r="R1" s="122"/>
      <c r="S1" s="83"/>
      <c r="T1" s="129" t="s">
        <v>39</v>
      </c>
      <c r="U1" s="129"/>
      <c r="V1" s="129"/>
      <c r="W1" s="79"/>
      <c r="X1" s="79"/>
    </row>
    <row r="2" spans="1:24" ht="16.2" thickBot="1" x14ac:dyDescent="0.4">
      <c r="A2" s="79"/>
      <c r="B2" s="79"/>
      <c r="C2" s="79"/>
      <c r="D2" s="79"/>
      <c r="E2" s="79"/>
      <c r="F2" s="79"/>
      <c r="G2" s="83" t="e" vm="1">
        <v>#VALUE!</v>
      </c>
      <c r="H2" s="78"/>
      <c r="I2" s="79"/>
      <c r="J2" s="79"/>
      <c r="K2" s="79"/>
      <c r="L2" s="19" cm="1">
        <f t="array" aca="1" ref="L2" ca="1">_FV(P2,"Change")</f>
        <v>-3.0999999999999999E-3</v>
      </c>
      <c r="M2" s="43" cm="1">
        <f t="array" aca="1" ref="M2" ca="1">_FV(P2,"Price")</f>
        <v>3.1962000000000002</v>
      </c>
      <c r="P2" s="84" t="e" vm="2">
        <v>#VALUE!</v>
      </c>
      <c r="Q2" s="29" cm="1">
        <f t="array" aca="1" ref="Q2" ca="1">_FV(S2,"Change (%)",TRUE)</f>
        <v>-3.4381000000000002E-2</v>
      </c>
      <c r="R2" s="27" cm="1">
        <f t="array" aca="1" ref="R2" ca="1">_FV(S2,"Price")</f>
        <v>26.12</v>
      </c>
      <c r="S2" s="84" t="e" vm="3">
        <v>#VALUE!</v>
      </c>
      <c r="T2" s="20">
        <v>295000</v>
      </c>
      <c r="U2" s="130" t="s">
        <v>40</v>
      </c>
      <c r="V2" s="130"/>
      <c r="W2" s="79"/>
      <c r="X2" s="79"/>
    </row>
    <row r="3" spans="1:24" ht="16.2" thickBot="1" x14ac:dyDescent="0.4">
      <c r="A3" s="79"/>
      <c r="B3" s="103" t="s">
        <v>50</v>
      </c>
      <c r="C3" s="104" t="s">
        <v>47</v>
      </c>
      <c r="D3" s="104" t="s">
        <v>7</v>
      </c>
      <c r="E3" s="104" t="s">
        <v>6</v>
      </c>
      <c r="F3" s="105" t="s">
        <v>0</v>
      </c>
      <c r="G3" s="83" t="e" vm="4">
        <v>#VALUE!</v>
      </c>
      <c r="H3" s="78"/>
      <c r="I3" s="80"/>
      <c r="J3" s="81"/>
      <c r="K3" s="81"/>
      <c r="L3" s="82"/>
      <c r="M3" s="79"/>
      <c r="N3" s="80"/>
      <c r="O3" s="80"/>
      <c r="P3" s="80"/>
      <c r="Q3" s="81"/>
      <c r="R3" s="82"/>
      <c r="S3" s="79"/>
      <c r="T3" s="85"/>
      <c r="U3" s="86"/>
      <c r="V3" s="86"/>
      <c r="W3" s="79"/>
      <c r="X3" s="79"/>
    </row>
    <row r="4" spans="1:24" ht="16.2" thickBot="1" x14ac:dyDescent="0.4">
      <c r="A4" s="79"/>
      <c r="B4" s="44" t="str">
        <f t="shared" ref="B4:B6" ca="1" si="0">IF(E4-C4&lt;=0,"BUY","HOLD")</f>
        <v>HOLD</v>
      </c>
      <c r="C4" s="45">
        <v>40</v>
      </c>
      <c r="D4" s="46" cm="1">
        <f t="array" aca="1" ref="D4" ca="1">_FV(G2,"Change (%)",TRUE)</f>
        <v>5.3106E-2</v>
      </c>
      <c r="E4" s="47" cm="1">
        <f t="array" aca="1" ref="E4" ca="1">_FV(G2,"Price")</f>
        <v>42.04</v>
      </c>
      <c r="F4" s="101" t="s">
        <v>61</v>
      </c>
      <c r="G4" s="83" t="e" vm="5">
        <v>#VALUE!</v>
      </c>
      <c r="H4" s="78"/>
      <c r="I4" s="79"/>
      <c r="J4" s="135" t="s">
        <v>7</v>
      </c>
      <c r="K4" s="135"/>
      <c r="L4" s="135" t="s">
        <v>60</v>
      </c>
      <c r="M4" s="135"/>
      <c r="O4" s="79"/>
      <c r="P4" s="79"/>
      <c r="Q4" s="28" t="s">
        <v>68</v>
      </c>
      <c r="R4" s="28" t="s">
        <v>41</v>
      </c>
      <c r="S4" s="31" t="s">
        <v>48</v>
      </c>
      <c r="T4" s="31" t="s">
        <v>43</v>
      </c>
      <c r="U4" s="133" t="s">
        <v>42</v>
      </c>
      <c r="V4" s="134"/>
      <c r="W4" s="79"/>
      <c r="X4" s="79"/>
    </row>
    <row r="5" spans="1:24" ht="15.6" customHeight="1" x14ac:dyDescent="0.35">
      <c r="A5" s="79"/>
      <c r="B5" s="38" t="str">
        <f t="shared" ca="1" si="0"/>
        <v>BUY</v>
      </c>
      <c r="C5" s="39">
        <v>100</v>
      </c>
      <c r="D5" s="37" cm="1">
        <f t="array" aca="1" ref="D5" ca="1">_FV(G3,"Change (%)",TRUE)</f>
        <v>4.2141999999999999E-2</v>
      </c>
      <c r="E5" s="36" cm="1">
        <f t="array" aca="1" ref="E5" ca="1">_FV(G3,"Price")</f>
        <v>93.23</v>
      </c>
      <c r="F5" s="100" t="s">
        <v>62</v>
      </c>
      <c r="G5" s="83" t="e" vm="6">
        <v>#VALUE!</v>
      </c>
      <c r="H5" s="78"/>
      <c r="I5" s="79"/>
      <c r="J5" s="142">
        <f ca="1">SUM(K10,K11,K12,K17:K19,K24:K30,K35:K44,K49:K54,K60:K62)</f>
        <v>2877.4432767349226</v>
      </c>
      <c r="K5" s="136"/>
      <c r="L5" s="136">
        <f ca="1">U5+T5+R5</f>
        <v>321201.14795680001</v>
      </c>
      <c r="M5" s="137"/>
      <c r="N5" s="79"/>
      <c r="O5" s="79"/>
      <c r="P5" s="79"/>
      <c r="Q5" s="32">
        <f>1800+5000</f>
        <v>6800</v>
      </c>
      <c r="R5" s="32">
        <f>T2-(U5)</f>
        <v>35734.580000000016</v>
      </c>
      <c r="S5" s="140">
        <f ca="1">T5/U5</f>
        <v>0.10105916923591285</v>
      </c>
      <c r="T5" s="30">
        <f ca="1">SUM(I10:I12,I17:I19,I24:I30,I35:I44,I49:I54,I60:I62)+Q5</f>
        <v>26201.147956800021</v>
      </c>
      <c r="U5" s="131">
        <f>SUM(P10:P12, P24:P30,P17:P19,P35:P44, P49:P54, P60:P62)</f>
        <v>259265.41999999998</v>
      </c>
      <c r="V5" s="132"/>
      <c r="W5" s="79"/>
      <c r="X5" s="79"/>
    </row>
    <row r="6" spans="1:24" ht="16.2" customHeight="1" thickBot="1" x14ac:dyDescent="0.4">
      <c r="A6" s="79"/>
      <c r="B6" s="38" t="str">
        <f t="shared" ca="1" si="0"/>
        <v>HOLD</v>
      </c>
      <c r="C6" s="39">
        <v>60</v>
      </c>
      <c r="D6" s="37" cm="1">
        <f t="array" aca="1" ref="D6" ca="1">_FV(G4,"Change (%)",TRUE)</f>
        <v>2.2048000000000002E-2</v>
      </c>
      <c r="E6" s="36" cm="1">
        <f t="array" aca="1" ref="E6" ca="1">_FV(G4,"Price")</f>
        <v>84.83</v>
      </c>
      <c r="F6" s="100" t="s">
        <v>53</v>
      </c>
      <c r="G6" s="83" t="e" vm="7">
        <v>#VALUE!</v>
      </c>
      <c r="H6" s="78"/>
      <c r="I6" s="79"/>
      <c r="J6" s="143"/>
      <c r="K6" s="138"/>
      <c r="L6" s="138"/>
      <c r="M6" s="139"/>
      <c r="N6" s="81"/>
      <c r="O6" s="81"/>
      <c r="P6" s="81"/>
      <c r="Q6" s="110">
        <f ca="1">Q5/M2</f>
        <v>2127.526437644703</v>
      </c>
      <c r="R6" s="33">
        <f ca="1">R5/M2</f>
        <v>11180.33289531319</v>
      </c>
      <c r="S6" s="141"/>
      <c r="T6" s="34">
        <f ca="1">T5/M2</f>
        <v>8197.593378637137</v>
      </c>
      <c r="U6" s="123">
        <f ca="1">U5/M2</f>
        <v>81116.769914273187</v>
      </c>
      <c r="V6" s="124"/>
      <c r="W6" s="79"/>
      <c r="X6" s="79"/>
    </row>
    <row r="7" spans="1:24" ht="16.2" thickBot="1" x14ac:dyDescent="0.4">
      <c r="A7" s="79"/>
      <c r="B7" s="38" t="str">
        <f ca="1">IF(E7-C7&lt;=0,"BUY","HOLD")</f>
        <v>HOLD</v>
      </c>
      <c r="C7" s="39">
        <v>100</v>
      </c>
      <c r="D7" s="37" cm="1">
        <f t="array" aca="1" ref="D7" ca="1">_FV(G5,"Change (%)",TRUE)</f>
        <v>1.2345E-2</v>
      </c>
      <c r="E7" s="36" cm="1">
        <f t="array" aca="1" ref="E7" ca="1">_FV(G5,"Price")</f>
        <v>136.94999999999999</v>
      </c>
      <c r="F7" s="100" t="s">
        <v>44</v>
      </c>
      <c r="G7" s="83" t="e" vm="8">
        <v>#VALUE!</v>
      </c>
      <c r="H7" s="78"/>
      <c r="I7" s="79"/>
      <c r="J7" s="79"/>
      <c r="K7" s="79"/>
      <c r="L7" s="79"/>
      <c r="M7" s="80"/>
      <c r="N7" s="81"/>
      <c r="O7" s="81"/>
      <c r="P7" s="81"/>
      <c r="Q7" s="82"/>
      <c r="R7" s="74"/>
      <c r="S7" s="75"/>
      <c r="T7" s="74"/>
      <c r="U7" s="76"/>
      <c r="V7" s="76"/>
      <c r="W7" s="79"/>
      <c r="X7" s="79"/>
    </row>
    <row r="8" spans="1:24" ht="15.6" x14ac:dyDescent="0.35">
      <c r="A8" s="79"/>
      <c r="B8" s="44" t="str">
        <f ca="1">IF(E8-C8&lt;=0,"BUY","HOLD")</f>
        <v>BUY</v>
      </c>
      <c r="C8" s="45">
        <v>60</v>
      </c>
      <c r="D8" s="46" cm="1">
        <f t="array" aca="1" ref="D8" ca="1">_FV(G6,"Change (%)",TRUE)</f>
        <v>8.3599999999999994E-4</v>
      </c>
      <c r="E8" s="47" cm="1">
        <f t="array" aca="1" ref="E8" ca="1">_FV(G6,"Price")</f>
        <v>59.86</v>
      </c>
      <c r="F8" s="101" t="s">
        <v>35</v>
      </c>
      <c r="G8" s="83" t="e" vm="9">
        <v>#VALUE!</v>
      </c>
      <c r="H8" s="126" t="s">
        <v>59</v>
      </c>
      <c r="I8" s="127"/>
      <c r="J8" s="127"/>
      <c r="K8" s="127"/>
      <c r="L8" s="127"/>
      <c r="M8" s="127"/>
      <c r="N8" s="127"/>
      <c r="O8" s="127"/>
      <c r="P8" s="127"/>
      <c r="Q8" s="127"/>
      <c r="R8" s="127"/>
      <c r="S8" s="127"/>
      <c r="T8" s="127"/>
      <c r="U8" s="127"/>
      <c r="V8" s="128"/>
      <c r="W8" s="79"/>
      <c r="X8" s="79"/>
    </row>
    <row r="9" spans="1:24" ht="15.6" x14ac:dyDescent="0.35">
      <c r="A9" s="79"/>
      <c r="B9" s="38" t="str">
        <f ca="1">IF(E9-C9&lt;=0,"BUY","HOLD")</f>
        <v>HOLD</v>
      </c>
      <c r="C9" s="39">
        <v>80</v>
      </c>
      <c r="D9" s="37" cm="1">
        <f t="array" aca="1" ref="D9" ca="1">_FV(G7,"Change (%)",TRUE)</f>
        <v>8.405000000000001E-3</v>
      </c>
      <c r="E9" s="36" cm="1">
        <f t="array" aca="1" ref="E9" ca="1">_FV(G7,"Price")</f>
        <v>122.37</v>
      </c>
      <c r="F9" s="100" t="s">
        <v>36</v>
      </c>
      <c r="G9" s="83" t="e" vm="10">
        <v>#VALUE!</v>
      </c>
      <c r="H9" s="77" t="s">
        <v>65</v>
      </c>
      <c r="I9" s="1" t="s">
        <v>66</v>
      </c>
      <c r="J9" s="1" t="s">
        <v>64</v>
      </c>
      <c r="K9" s="1" t="s">
        <v>7</v>
      </c>
      <c r="L9" s="1" t="s">
        <v>6</v>
      </c>
      <c r="M9" s="1" t="s">
        <v>4</v>
      </c>
      <c r="N9" s="1" t="s">
        <v>49</v>
      </c>
      <c r="O9" s="1" t="s">
        <v>69</v>
      </c>
      <c r="P9" s="1" t="s">
        <v>63</v>
      </c>
      <c r="Q9" s="1" t="s">
        <v>3</v>
      </c>
      <c r="R9" s="1" t="s">
        <v>2</v>
      </c>
      <c r="S9" s="1" t="s">
        <v>1</v>
      </c>
      <c r="T9" s="1" t="s">
        <v>0</v>
      </c>
      <c r="U9" s="1"/>
      <c r="V9" s="53" t="s">
        <v>5</v>
      </c>
      <c r="W9" s="79"/>
      <c r="X9" s="79"/>
    </row>
    <row r="10" spans="1:24" ht="15.6" x14ac:dyDescent="0.35">
      <c r="A10" s="79"/>
      <c r="B10" s="38" t="str">
        <f ca="1">IF(E10-C10&lt;=0,"BUY","HOLD")</f>
        <v>HOLD</v>
      </c>
      <c r="C10" s="39">
        <v>120</v>
      </c>
      <c r="D10" s="37" cm="1">
        <f t="array" aca="1" ref="D10" ca="1">_FV(G8,"Change (%)",TRUE)</f>
        <v>7.1220000000000007E-3</v>
      </c>
      <c r="E10" s="36" cm="1">
        <f t="array" aca="1" ref="E10" ca="1">_FV(G8,"Price")</f>
        <v>214.95</v>
      </c>
      <c r="F10" s="100" t="s">
        <v>18</v>
      </c>
      <c r="G10" s="83" t="e" vm="11">
        <v>#VALUE!</v>
      </c>
      <c r="H10" s="52">
        <f ca="1">(L10-R10)/R10</f>
        <v>4.5661675752901941E-2</v>
      </c>
      <c r="I10" s="21">
        <f ca="1">(L10*S10-P10)</f>
        <v>1027.8552799999998</v>
      </c>
      <c r="J10" s="2" cm="1">
        <f t="array" aca="1" ref="J10" ca="1">_FV(U10,"Change (%)",TRUE)</f>
        <v>5.4320000000000002E-5</v>
      </c>
      <c r="K10" s="21">
        <f ca="1">J10*Q10</f>
        <v>1.2785893356096001</v>
      </c>
      <c r="L10" s="22" cm="1">
        <f t="array" aca="1" ref="L10" ca="1">_FV(U10,"Price")*M2</f>
        <v>2353.8095280000002</v>
      </c>
      <c r="M10" s="8">
        <f>P10/$U$5</f>
        <v>8.6823148262502592E-2</v>
      </c>
      <c r="N10" s="3"/>
      <c r="O10" s="3" t="s">
        <v>59</v>
      </c>
      <c r="P10" s="21">
        <v>22510.240000000002</v>
      </c>
      <c r="Q10" s="18">
        <f ca="1">S10*L10</f>
        <v>23538.095280000001</v>
      </c>
      <c r="R10" s="18">
        <f>225102.4/100</f>
        <v>2251.0239999999999</v>
      </c>
      <c r="S10" s="3">
        <v>10</v>
      </c>
      <c r="T10" s="94">
        <v>1159250</v>
      </c>
      <c r="U10" s="23" t="e" vm="12">
        <v>#VALUE!</v>
      </c>
      <c r="V10" s="53">
        <v>1</v>
      </c>
      <c r="W10" s="79"/>
      <c r="X10" s="79"/>
    </row>
    <row r="11" spans="1:24" ht="15.6" x14ac:dyDescent="0.35">
      <c r="A11" s="79"/>
      <c r="B11" s="38" t="str">
        <f t="shared" ref="B11:B14" ca="1" si="1">IF(E11-C11&lt;=0,"BUY","HOLD")</f>
        <v>HOLD</v>
      </c>
      <c r="C11" s="39">
        <v>70</v>
      </c>
      <c r="D11" s="37" cm="1">
        <f t="array" aca="1" ref="D11" ca="1">_FV(G9,"Change (%)",TRUE)</f>
        <v>3.1030000000000003E-3</v>
      </c>
      <c r="E11" s="36" cm="1">
        <f t="array" aca="1" ref="E11" ca="1">_FV(G9,"Price")</f>
        <v>193.98</v>
      </c>
      <c r="F11" s="100" t="s">
        <v>45</v>
      </c>
      <c r="G11" s="83" t="e" vm="13">
        <v>#VALUE!</v>
      </c>
      <c r="H11" s="52">
        <f ca="1">(L11-R11)/R11</f>
        <v>4.8227879193745507E-2</v>
      </c>
      <c r="I11" s="21">
        <f ca="1">(L11*S11-P11)</f>
        <v>1210.2200000000048</v>
      </c>
      <c r="J11" s="2" cm="1">
        <f t="array" aca="1" ref="J11" ca="1">_FV(U11,"Change (%)",TRUE)</f>
        <v>-9.1160000000000004E-4</v>
      </c>
      <c r="K11" s="21">
        <f ca="1">J11*Q11</f>
        <v>-23.978726400000003</v>
      </c>
      <c r="L11" s="22" cm="1">
        <f t="array" aca="1" ref="L11" ca="1">_FV(U11,"Price")/100</f>
        <v>43.84</v>
      </c>
      <c r="M11" s="8">
        <f>P11/$U$5</f>
        <v>9.6787994326431967E-2</v>
      </c>
      <c r="N11" s="3"/>
      <c r="O11" s="3" t="s">
        <v>59</v>
      </c>
      <c r="P11" s="21">
        <v>25093.78</v>
      </c>
      <c r="Q11" s="18">
        <f ca="1">S11*L11</f>
        <v>26304.000000000004</v>
      </c>
      <c r="R11" s="18">
        <f>418229.67/100/100</f>
        <v>41.822966999999998</v>
      </c>
      <c r="S11" s="3">
        <v>600</v>
      </c>
      <c r="T11" s="94">
        <v>1183441</v>
      </c>
      <c r="U11" s="23" t="e" vm="14">
        <v>#VALUE!</v>
      </c>
      <c r="V11" s="53">
        <v>2</v>
      </c>
      <c r="W11" s="79"/>
      <c r="X11" s="79"/>
    </row>
    <row r="12" spans="1:24" ht="16.2" thickBot="1" x14ac:dyDescent="0.4">
      <c r="A12" s="79"/>
      <c r="B12" s="38" t="str">
        <f t="shared" ca="1" si="1"/>
        <v>HOLD</v>
      </c>
      <c r="C12" s="39">
        <v>230</v>
      </c>
      <c r="D12" s="37" cm="1">
        <f t="array" aca="1" ref="D12" ca="1">_FV(G10,"Change (%)",TRUE)</f>
        <v>1.8159999999999999E-2</v>
      </c>
      <c r="E12" s="36" cm="1">
        <f t="array" aca="1" ref="E12" ca="1">_FV(G10,"Price")</f>
        <v>264.63</v>
      </c>
      <c r="F12" s="100" t="s">
        <v>46</v>
      </c>
      <c r="G12" s="83" t="e" vm="15">
        <v>#VALUE!</v>
      </c>
      <c r="H12" s="54">
        <f ca="1">(L12-R12)/R12</f>
        <v>0.20986713559984374</v>
      </c>
      <c r="I12" s="87">
        <f ca="1">(L12*S12*M2-P12)</f>
        <v>1274.2700200000036</v>
      </c>
      <c r="J12" s="62" cm="1">
        <f t="array" aca="1" ref="J12" ca="1">_FV(U12,"Change (%)",TRUE)</f>
        <v>4.7930000000000004E-3</v>
      </c>
      <c r="K12" s="87">
        <f ca="1">J12*Q12*$M$2</f>
        <v>94.859173765860021</v>
      </c>
      <c r="L12" s="56" cm="1">
        <f t="array" aca="1" ref="L12" ca="1">_FV(U12,"Price")</f>
        <v>619.21</v>
      </c>
      <c r="M12" s="57">
        <f>P12/$U$5</f>
        <v>7.1420708554191303E-2</v>
      </c>
      <c r="N12" s="58"/>
      <c r="O12" s="58" t="s">
        <v>59</v>
      </c>
      <c r="P12" s="87">
        <v>18516.919999999998</v>
      </c>
      <c r="Q12" s="59">
        <f ca="1">L12*S12</f>
        <v>6192.1</v>
      </c>
      <c r="R12" s="59">
        <v>511.8</v>
      </c>
      <c r="S12" s="58">
        <v>10</v>
      </c>
      <c r="T12" s="95" t="s">
        <v>20</v>
      </c>
      <c r="U12" s="60" t="e" vm="16">
        <v>#VALUE!</v>
      </c>
      <c r="V12" s="61">
        <v>3</v>
      </c>
      <c r="W12" s="79"/>
      <c r="X12" s="79"/>
    </row>
    <row r="13" spans="1:24" ht="15.6" x14ac:dyDescent="0.35">
      <c r="A13" s="79"/>
      <c r="B13" s="38" t="str">
        <f t="shared" ca="1" si="1"/>
        <v>HOLD</v>
      </c>
      <c r="C13" s="39">
        <v>80</v>
      </c>
      <c r="D13" s="37" cm="1">
        <f t="array" aca="1" ref="D13" ca="1">_FV(G11,"Change (%)",TRUE)</f>
        <v>2.4586999999999998E-2</v>
      </c>
      <c r="E13" s="36" cm="1">
        <f t="array" aca="1" ref="E13" ca="1">_FV(G11,"Price")</f>
        <v>81.260000000000005</v>
      </c>
      <c r="F13" s="100" t="s">
        <v>17</v>
      </c>
      <c r="G13" s="83" t="e" vm="17">
        <v>#VALUE!</v>
      </c>
      <c r="H13" s="125"/>
      <c r="I13" s="125"/>
      <c r="J13" s="125"/>
      <c r="K13" s="125"/>
      <c r="L13" s="125"/>
      <c r="M13" s="125"/>
      <c r="N13" s="125"/>
      <c r="O13" s="125"/>
      <c r="P13" s="125"/>
      <c r="Q13" s="125"/>
      <c r="R13" s="125"/>
      <c r="S13" s="125"/>
      <c r="T13" s="125"/>
      <c r="U13" s="125"/>
      <c r="V13" s="125"/>
      <c r="W13" s="79"/>
      <c r="X13" s="79"/>
    </row>
    <row r="14" spans="1:24" ht="16.2" thickBot="1" x14ac:dyDescent="0.4">
      <c r="A14" s="79"/>
      <c r="B14" s="38" t="str">
        <f t="shared" ca="1" si="1"/>
        <v>HOLD</v>
      </c>
      <c r="C14" s="39">
        <v>120</v>
      </c>
      <c r="D14" s="37" cm="1">
        <f t="array" aca="1" ref="D14" ca="1">_FV(G12,"Change (%)",TRUE)</f>
        <v>1.4918000000000001E-2</v>
      </c>
      <c r="E14" s="36" cm="1">
        <f t="array" aca="1" ref="E14" ca="1">_FV(G12,"Price")</f>
        <v>183.69</v>
      </c>
      <c r="F14" s="100" t="s">
        <v>11</v>
      </c>
      <c r="G14" s="83" t="e" vm="18">
        <v>#VALUE!</v>
      </c>
      <c r="H14" s="125"/>
      <c r="I14" s="125"/>
      <c r="J14" s="125"/>
      <c r="K14" s="125"/>
      <c r="L14" s="125"/>
      <c r="M14" s="125"/>
      <c r="N14" s="125"/>
      <c r="O14" s="125"/>
      <c r="P14" s="125"/>
      <c r="Q14" s="125"/>
      <c r="R14" s="125"/>
      <c r="S14" s="125"/>
      <c r="T14" s="125"/>
      <c r="U14" s="125"/>
      <c r="V14" s="125"/>
      <c r="W14" s="79"/>
      <c r="X14" s="79"/>
    </row>
    <row r="15" spans="1:24" ht="15.6" x14ac:dyDescent="0.35">
      <c r="A15" s="79"/>
      <c r="B15" s="38" t="str">
        <f ca="1">IF(E15-C15&lt;=0,"BUY","HOLD")</f>
        <v>HOLD</v>
      </c>
      <c r="C15" s="39">
        <v>100</v>
      </c>
      <c r="D15" s="37" cm="1">
        <f t="array" aca="1" ref="D15" ca="1">_FV(G13,"Change (%)",TRUE)</f>
        <v>-3.0759999999999997E-3</v>
      </c>
      <c r="E15" s="36" cm="1">
        <f t="array" aca="1" ref="E15" ca="1">_FV(G13,"Price")</f>
        <v>233.32</v>
      </c>
      <c r="F15" s="100" t="s">
        <v>15</v>
      </c>
      <c r="H15" s="126" t="s">
        <v>58</v>
      </c>
      <c r="I15" s="127"/>
      <c r="J15" s="127"/>
      <c r="K15" s="127"/>
      <c r="L15" s="127"/>
      <c r="M15" s="127"/>
      <c r="N15" s="127"/>
      <c r="O15" s="127"/>
      <c r="P15" s="127"/>
      <c r="Q15" s="127"/>
      <c r="R15" s="127"/>
      <c r="S15" s="127"/>
      <c r="T15" s="127"/>
      <c r="U15" s="127"/>
      <c r="V15" s="128"/>
      <c r="W15" s="79"/>
      <c r="X15" s="79"/>
    </row>
    <row r="16" spans="1:24" ht="16.2" thickBot="1" x14ac:dyDescent="0.4">
      <c r="A16" s="79"/>
      <c r="B16" s="25" t="str">
        <f ca="1">IF(E16-C16&lt;=0,"BUY","HOLD")</f>
        <v>HOLD</v>
      </c>
      <c r="C16" s="40">
        <v>180</v>
      </c>
      <c r="D16" s="41" cm="1">
        <f t="array" aca="1" ref="D16" ca="1">_FV(G14,"Change (%)",TRUE)</f>
        <v>1.4674E-2</v>
      </c>
      <c r="E16" s="26" cm="1">
        <f t="array" aca="1" ref="E16" ca="1">_FV(G14,"Price")</f>
        <v>293.19</v>
      </c>
      <c r="F16" s="102" t="s">
        <v>19</v>
      </c>
      <c r="G16" s="83"/>
      <c r="H16" s="77" t="s">
        <v>65</v>
      </c>
      <c r="I16" s="1" t="s">
        <v>66</v>
      </c>
      <c r="J16" s="1" t="s">
        <v>64</v>
      </c>
      <c r="K16" s="1" t="s">
        <v>7</v>
      </c>
      <c r="L16" s="1" t="s">
        <v>6</v>
      </c>
      <c r="M16" s="1" t="s">
        <v>4</v>
      </c>
      <c r="N16" s="1" t="s">
        <v>49</v>
      </c>
      <c r="O16" s="1" t="s">
        <v>69</v>
      </c>
      <c r="P16" s="1" t="s">
        <v>63</v>
      </c>
      <c r="Q16" s="1" t="s">
        <v>3</v>
      </c>
      <c r="R16" s="1" t="s">
        <v>2</v>
      </c>
      <c r="S16" s="1" t="s">
        <v>1</v>
      </c>
      <c r="T16" s="1" t="s">
        <v>0</v>
      </c>
      <c r="U16" s="1"/>
      <c r="V16" s="53" t="s">
        <v>5</v>
      </c>
      <c r="W16" s="79"/>
      <c r="X16" s="79"/>
    </row>
    <row r="17" spans="1:26" ht="15.6" x14ac:dyDescent="0.35">
      <c r="A17" s="79"/>
      <c r="B17" s="79"/>
      <c r="C17" s="79"/>
      <c r="D17" s="79"/>
      <c r="E17" s="79"/>
      <c r="F17" s="79"/>
      <c r="G17" s="83"/>
      <c r="H17" s="52">
        <f ca="1">(L17-R17)/R17</f>
        <v>0.14360730593607321</v>
      </c>
      <c r="I17" s="88">
        <f ca="1">(L17*S17*$M$2-P17)</f>
        <v>864.66264000000228</v>
      </c>
      <c r="J17" s="4" cm="1">
        <f t="array" aca="1" ref="J17" ca="1">_FV(U17,"Change (%)",TRUE)</f>
        <v>3.6059999999999998E-3</v>
      </c>
      <c r="K17" s="21">
        <f ca="1">J17*Q17*$M$2</f>
        <v>46.184972379840005</v>
      </c>
      <c r="L17" s="48" cm="1">
        <f t="array" aca="1" ref="L17" ca="1">_FV(U17,"Price")</f>
        <v>50.09</v>
      </c>
      <c r="M17" s="8">
        <f>P17/$U$5</f>
        <v>4.6065341070166625E-2</v>
      </c>
      <c r="N17" s="3"/>
      <c r="O17" s="3" t="s">
        <v>58</v>
      </c>
      <c r="P17" s="21">
        <v>11943.15</v>
      </c>
      <c r="Q17" s="14">
        <f ca="1">L17*S17</f>
        <v>4007.2000000000003</v>
      </c>
      <c r="R17" s="14">
        <v>43.8</v>
      </c>
      <c r="S17" s="3">
        <v>80</v>
      </c>
      <c r="T17" s="94" t="s">
        <v>22</v>
      </c>
      <c r="U17" s="50" t="e" vm="19">
        <v>#VALUE!</v>
      </c>
      <c r="V17" s="51">
        <v>4</v>
      </c>
      <c r="W17" s="79"/>
      <c r="X17" s="79"/>
    </row>
    <row r="18" spans="1:26" ht="15.6" x14ac:dyDescent="0.35">
      <c r="A18" s="79"/>
      <c r="B18" s="79"/>
      <c r="C18" s="79"/>
      <c r="D18" s="79"/>
      <c r="E18" s="79"/>
      <c r="F18" s="79"/>
      <c r="G18" s="83"/>
      <c r="H18" s="52">
        <f ca="1">(L18-R18)/R18</f>
        <v>0.26079641054402708</v>
      </c>
      <c r="I18" s="88">
        <f ca="1">(L18*S18*$M$2-P18)</f>
        <v>350.66456000000017</v>
      </c>
      <c r="J18" s="4" cm="1">
        <f t="array" aca="1" ref="J18" ca="1">_FV(U18,"Change (%)",TRUE)</f>
        <v>-7.0670000000000004E-3</v>
      </c>
      <c r="K18" s="21">
        <f ca="1">J18*Q18*$M$2</f>
        <v>-30.466081235520001</v>
      </c>
      <c r="L18" s="48" cm="1">
        <f t="array" aca="1" ref="L18" ca="1">_FV(U18,"Price")</f>
        <v>22.48</v>
      </c>
      <c r="M18" s="8">
        <f t="shared" ref="M18:M19" si="2">P18/$U$5</f>
        <v>1.5275349871186061E-2</v>
      </c>
      <c r="N18" s="3"/>
      <c r="O18" s="3" t="s">
        <v>58</v>
      </c>
      <c r="P18" s="21">
        <v>3960.37</v>
      </c>
      <c r="Q18" s="14">
        <f ca="1">L18*S18</f>
        <v>1348.8</v>
      </c>
      <c r="R18" s="14">
        <v>17.829999999999998</v>
      </c>
      <c r="S18" s="3">
        <v>60</v>
      </c>
      <c r="T18" s="94" t="s">
        <v>21</v>
      </c>
      <c r="U18" s="24" t="e" vm="20">
        <v>#VALUE!</v>
      </c>
      <c r="V18" s="53">
        <v>5</v>
      </c>
      <c r="W18" s="79"/>
      <c r="X18" s="79"/>
    </row>
    <row r="19" spans="1:26" ht="16.2" thickBot="1" x14ac:dyDescent="0.4">
      <c r="A19" s="79"/>
      <c r="B19" s="79"/>
      <c r="C19" s="79"/>
      <c r="D19" s="79"/>
      <c r="E19" s="79"/>
      <c r="F19" s="79"/>
      <c r="G19" s="83"/>
      <c r="H19" s="54">
        <f t="shared" ref="H19" ca="1" si="3">(L19-R19)/R19</f>
        <v>-0.3486932108218479</v>
      </c>
      <c r="I19" s="89">
        <f t="shared" ref="I19" ca="1" si="4">(L19*S19*$M$2-P19)</f>
        <v>-3334.281041199999</v>
      </c>
      <c r="J19" s="55" cm="1">
        <f t="array" aca="1" ref="J19" ca="1">_FV(U19,"Change (%)",TRUE)</f>
        <v>-2.0790000000000003E-2</v>
      </c>
      <c r="K19" s="87">
        <f ca="1">J19*Q19*$M$2</f>
        <v>-118.69611745345202</v>
      </c>
      <c r="L19" s="56" cm="1">
        <f t="array" aca="1" ref="L19" ca="1">_FV(U19,"Price")</f>
        <v>12.7591</v>
      </c>
      <c r="M19" s="57">
        <f t="shared" si="2"/>
        <v>3.4881512544171912E-2</v>
      </c>
      <c r="N19" s="58"/>
      <c r="O19" s="58" t="s">
        <v>58</v>
      </c>
      <c r="P19" s="87">
        <v>9043.57</v>
      </c>
      <c r="Q19" s="59">
        <f t="shared" ref="Q19" ca="1" si="5">L19*S19</f>
        <v>1786.2740000000001</v>
      </c>
      <c r="R19" s="109">
        <v>19.59</v>
      </c>
      <c r="S19" s="58">
        <v>140</v>
      </c>
      <c r="T19" s="95" t="s">
        <v>52</v>
      </c>
      <c r="U19" s="60" t="e" vm="21">
        <v>#VALUE!</v>
      </c>
      <c r="V19" s="61">
        <v>6</v>
      </c>
      <c r="W19" s="79"/>
      <c r="X19" s="79"/>
      <c r="Z19" s="93"/>
    </row>
    <row r="20" spans="1:26" ht="15.6" x14ac:dyDescent="0.35">
      <c r="A20" s="79"/>
      <c r="B20" s="79"/>
      <c r="C20" s="114" t="s">
        <v>83</v>
      </c>
      <c r="D20" s="115" t="s">
        <v>69</v>
      </c>
      <c r="F20" s="79"/>
      <c r="G20" s="79"/>
      <c r="H20" s="125"/>
      <c r="I20" s="125"/>
      <c r="J20" s="125"/>
      <c r="K20" s="125"/>
      <c r="L20" s="125"/>
      <c r="M20" s="125"/>
      <c r="N20" s="125"/>
      <c r="O20" s="125"/>
      <c r="P20" s="125"/>
      <c r="Q20" s="125"/>
      <c r="R20" s="125"/>
      <c r="S20" s="125"/>
      <c r="T20" s="125"/>
      <c r="U20" s="125"/>
      <c r="V20" s="125"/>
      <c r="W20" s="79"/>
      <c r="X20" s="79"/>
    </row>
    <row r="21" spans="1:26" ht="14.4" customHeight="1" thickBot="1" x14ac:dyDescent="0.4">
      <c r="A21" s="79"/>
      <c r="B21" s="79"/>
      <c r="C21" s="111">
        <f t="shared" ref="C21:C35" si="6">SUMIF(O:O, D21, M:M)</f>
        <v>0.26166586350003795</v>
      </c>
      <c r="D21" s="116" t="s">
        <v>59</v>
      </c>
      <c r="E21" s="79"/>
      <c r="F21" s="79"/>
      <c r="G21" s="79"/>
      <c r="H21" s="125"/>
      <c r="I21" s="125"/>
      <c r="J21" s="125"/>
      <c r="K21" s="125"/>
      <c r="L21" s="125"/>
      <c r="M21" s="125"/>
      <c r="N21" s="125"/>
      <c r="O21" s="125"/>
      <c r="P21" s="125"/>
      <c r="Q21" s="125"/>
      <c r="R21" s="125"/>
      <c r="S21" s="125"/>
      <c r="T21" s="125"/>
      <c r="U21" s="125"/>
      <c r="V21" s="125"/>
      <c r="W21" s="79"/>
      <c r="X21" s="79"/>
    </row>
    <row r="22" spans="1:26" ht="16.2" customHeight="1" x14ac:dyDescent="0.35">
      <c r="A22" s="79"/>
      <c r="B22" s="79"/>
      <c r="C22" s="111">
        <f t="shared" si="6"/>
        <v>9.6222203485524599E-2</v>
      </c>
      <c r="D22" s="116" t="s">
        <v>58</v>
      </c>
      <c r="E22" s="79"/>
      <c r="F22" s="79"/>
      <c r="G22" s="79"/>
      <c r="H22" s="126" t="s">
        <v>57</v>
      </c>
      <c r="I22" s="127"/>
      <c r="J22" s="127"/>
      <c r="K22" s="127"/>
      <c r="L22" s="127"/>
      <c r="M22" s="127"/>
      <c r="N22" s="127"/>
      <c r="O22" s="127"/>
      <c r="P22" s="127"/>
      <c r="Q22" s="127"/>
      <c r="R22" s="127"/>
      <c r="S22" s="127"/>
      <c r="T22" s="127"/>
      <c r="U22" s="127"/>
      <c r="V22" s="128"/>
      <c r="W22" s="79"/>
      <c r="X22" s="79"/>
    </row>
    <row r="23" spans="1:26" ht="15.6" customHeight="1" x14ac:dyDescent="0.35">
      <c r="A23" s="79"/>
      <c r="B23" s="79"/>
      <c r="C23" s="111">
        <f t="shared" si="6"/>
        <v>0.11149628052981381</v>
      </c>
      <c r="D23" s="116" t="s">
        <v>71</v>
      </c>
      <c r="E23" s="79"/>
      <c r="F23" s="79"/>
      <c r="G23" s="79"/>
      <c r="H23" s="77" t="s">
        <v>65</v>
      </c>
      <c r="I23" s="1" t="s">
        <v>66</v>
      </c>
      <c r="J23" s="1" t="s">
        <v>64</v>
      </c>
      <c r="K23" s="1" t="s">
        <v>7</v>
      </c>
      <c r="L23" s="1" t="s">
        <v>6</v>
      </c>
      <c r="M23" s="1" t="s">
        <v>4</v>
      </c>
      <c r="N23" s="1" t="s">
        <v>49</v>
      </c>
      <c r="O23" s="1" t="s">
        <v>69</v>
      </c>
      <c r="P23" s="1" t="s">
        <v>63</v>
      </c>
      <c r="Q23" s="1" t="s">
        <v>3</v>
      </c>
      <c r="R23" s="1" t="s">
        <v>2</v>
      </c>
      <c r="S23" s="1" t="s">
        <v>1</v>
      </c>
      <c r="T23" s="1" t="s">
        <v>0</v>
      </c>
      <c r="U23" s="1"/>
      <c r="V23" s="53" t="s">
        <v>5</v>
      </c>
      <c r="W23" s="79"/>
      <c r="X23" s="79"/>
    </row>
    <row r="24" spans="1:26" ht="16.2" customHeight="1" x14ac:dyDescent="0.35">
      <c r="A24" s="79"/>
      <c r="B24" s="79"/>
      <c r="C24" s="111">
        <f t="shared" si="6"/>
        <v>3.2480883875682307E-2</v>
      </c>
      <c r="D24" s="116" t="s">
        <v>73</v>
      </c>
      <c r="E24" s="79"/>
      <c r="F24" s="79"/>
      <c r="G24" s="79"/>
      <c r="H24" s="52">
        <f ca="1">(L24-R24)/R24</f>
        <v>9.3385027761822809E-2</v>
      </c>
      <c r="I24" s="21">
        <f ca="1">(L24*S24*$M$2-P24)</f>
        <v>319.78118399999948</v>
      </c>
      <c r="J24" s="2" cm="1">
        <f t="array" aca="1" ref="J24" ca="1">_FV(U24,"Change (%)",TRUE)</f>
        <v>4.7499999999999999E-3</v>
      </c>
      <c r="K24" s="21">
        <f ca="1">J24*Q24*$M$2</f>
        <v>83.232308123999999</v>
      </c>
      <c r="L24" s="48" cm="1">
        <f t="array" aca="1" ref="L24" ca="1">_FV(U24,"Price")</f>
        <v>228.43</v>
      </c>
      <c r="M24" s="8">
        <f t="shared" ref="M24:M30" si="7">P24/$U$5</f>
        <v>6.635211899836084E-2</v>
      </c>
      <c r="N24" s="3"/>
      <c r="O24" s="3" t="s">
        <v>70</v>
      </c>
      <c r="P24" s="21">
        <v>17202.810000000001</v>
      </c>
      <c r="Q24" s="14">
        <f ca="1">L24*S24</f>
        <v>5482.32</v>
      </c>
      <c r="R24" s="14">
        <v>208.92</v>
      </c>
      <c r="S24" s="3">
        <v>24</v>
      </c>
      <c r="T24" s="94" t="s">
        <v>9</v>
      </c>
      <c r="U24" s="24" t="e" vm="22">
        <v>#VALUE!</v>
      </c>
      <c r="V24" s="53">
        <v>7</v>
      </c>
      <c r="W24" s="79"/>
      <c r="X24" s="79"/>
    </row>
    <row r="25" spans="1:26" ht="15.6" customHeight="1" x14ac:dyDescent="0.35">
      <c r="A25" s="79"/>
      <c r="B25" s="79"/>
      <c r="C25" s="111">
        <f t="shared" si="6"/>
        <v>2.4930744717131966E-2</v>
      </c>
      <c r="D25" s="116" t="s">
        <v>80</v>
      </c>
      <c r="E25" s="79"/>
      <c r="F25" s="79"/>
      <c r="G25" s="79"/>
      <c r="H25" s="52">
        <f t="shared" ref="H25:H30" ca="1" si="8">(L25-R25)/R25</f>
        <v>0.12462877030162407</v>
      </c>
      <c r="I25" s="21">
        <f t="shared" ref="I25:I30" ca="1" si="9">(L25*S25*$M$2-P25)</f>
        <v>-121.58175099999971</v>
      </c>
      <c r="J25" s="7" cm="1">
        <f t="array" aca="1" ref="J25" ca="1">_FV(U25,"Change (%)",TRUE)</f>
        <v>-2.48E-3</v>
      </c>
      <c r="K25" s="21">
        <f t="shared" ref="K25:K30" ca="1" si="10">J25*Q25*$M$2</f>
        <v>-11.526390857520001</v>
      </c>
      <c r="L25" s="48" cm="1">
        <f t="array" aca="1" ref="L25" ca="1">_FV(U25,"Price")</f>
        <v>484.71499999999997</v>
      </c>
      <c r="M25" s="8">
        <f t="shared" si="7"/>
        <v>1.8395511441518117E-2</v>
      </c>
      <c r="N25" s="3"/>
      <c r="O25" s="3" t="s">
        <v>71</v>
      </c>
      <c r="P25" s="21">
        <v>4769.32</v>
      </c>
      <c r="Q25" s="14">
        <f t="shared" ref="Q25:Q30" ca="1" si="11">L25*S25</f>
        <v>1454.145</v>
      </c>
      <c r="R25" s="42">
        <v>431</v>
      </c>
      <c r="S25" s="3">
        <v>3</v>
      </c>
      <c r="T25" s="94" t="s">
        <v>8</v>
      </c>
      <c r="U25" s="17" t="e" vm="23">
        <v>#VALUE!</v>
      </c>
      <c r="V25" s="53">
        <v>8</v>
      </c>
      <c r="W25" s="79"/>
      <c r="X25" s="79"/>
    </row>
    <row r="26" spans="1:26" ht="16.2" customHeight="1" x14ac:dyDescent="0.35">
      <c r="A26" s="79"/>
      <c r="B26" s="79"/>
      <c r="C26" s="111">
        <f t="shared" si="6"/>
        <v>8.6742073046224222E-2</v>
      </c>
      <c r="D26" s="116" t="s">
        <v>74</v>
      </c>
      <c r="E26" s="79"/>
      <c r="F26" s="79"/>
      <c r="G26" s="79"/>
      <c r="H26" s="52">
        <f t="shared" ca="1" si="8"/>
        <v>0.78095895136253868</v>
      </c>
      <c r="I26" s="21">
        <f t="shared" ca="1" si="9"/>
        <v>11706.825079999999</v>
      </c>
      <c r="J26" s="2" cm="1">
        <f t="array" aca="1" ref="J26" ca="1">_FV(U26,"Change (%)",TRUE)</f>
        <v>8.5299999999999994E-3</v>
      </c>
      <c r="K26" s="21">
        <f t="shared" ca="1" si="10"/>
        <v>253.3714101324</v>
      </c>
      <c r="L26" s="48" cm="1">
        <f t="array" aca="1" ref="L26" ca="1">_FV(U26,"Price")</f>
        <v>309.77999999999997</v>
      </c>
      <c r="M26" s="8">
        <f t="shared" si="7"/>
        <v>6.9414347659630046E-2</v>
      </c>
      <c r="N26" s="3"/>
      <c r="O26" s="3" t="s">
        <v>72</v>
      </c>
      <c r="P26" s="21">
        <v>17996.740000000002</v>
      </c>
      <c r="Q26" s="14">
        <f t="shared" ca="1" si="11"/>
        <v>9293.4</v>
      </c>
      <c r="R26" s="14">
        <v>173.94</v>
      </c>
      <c r="S26" s="3">
        <v>30</v>
      </c>
      <c r="T26" s="94" t="s">
        <v>12</v>
      </c>
      <c r="U26" s="17" t="e" vm="24">
        <v>#VALUE!</v>
      </c>
      <c r="V26" s="53">
        <v>9</v>
      </c>
      <c r="W26" s="79"/>
      <c r="X26" s="79"/>
    </row>
    <row r="27" spans="1:26" ht="15.6" x14ac:dyDescent="0.35">
      <c r="A27" s="79"/>
      <c r="B27" s="79"/>
      <c r="C27" s="111">
        <f t="shared" si="6"/>
        <v>1.0063625145227621E-2</v>
      </c>
      <c r="D27" s="116" t="s">
        <v>75</v>
      </c>
      <c r="E27" s="79"/>
      <c r="F27" s="79"/>
      <c r="G27" s="79"/>
      <c r="H27" s="52">
        <f t="shared" ca="1" si="8"/>
        <v>0.10954561465304674</v>
      </c>
      <c r="I27" s="21">
        <f t="shared" ca="1" si="9"/>
        <v>755.6877999999997</v>
      </c>
      <c r="J27" s="2" cm="1">
        <f t="array" aca="1" ref="J27" ca="1">_FV(U27,"Change (%)",TRUE)</f>
        <v>4.1440000000000001E-3</v>
      </c>
      <c r="K27" s="21">
        <f t="shared" ca="1" si="10"/>
        <v>52.569614563199998</v>
      </c>
      <c r="L27" s="48" cm="1">
        <f t="array" aca="1" ref="L27" ca="1">_FV(U27,"Price")</f>
        <v>661.5</v>
      </c>
      <c r="M27" s="8">
        <f t="shared" si="7"/>
        <v>4.6014736558388704E-2</v>
      </c>
      <c r="N27" s="3"/>
      <c r="O27" s="3" t="s">
        <v>72</v>
      </c>
      <c r="P27" s="21">
        <v>11930.03</v>
      </c>
      <c r="Q27" s="14">
        <f t="shared" ca="1" si="11"/>
        <v>3969</v>
      </c>
      <c r="R27" s="14">
        <v>596.19000000000005</v>
      </c>
      <c r="S27" s="3">
        <v>6</v>
      </c>
      <c r="T27" s="94" t="s">
        <v>13</v>
      </c>
      <c r="U27" s="17" t="e" vm="25">
        <v>#VALUE!</v>
      </c>
      <c r="V27" s="53">
        <v>10</v>
      </c>
      <c r="W27" s="79"/>
      <c r="X27" s="79"/>
    </row>
    <row r="28" spans="1:26" ht="15.6" x14ac:dyDescent="0.35">
      <c r="A28" s="79"/>
      <c r="B28" s="79"/>
      <c r="C28" s="111">
        <f t="shared" si="6"/>
        <v>3.0281516138943636E-2</v>
      </c>
      <c r="D28" s="116" t="s">
        <v>82</v>
      </c>
      <c r="E28" s="79"/>
      <c r="F28" s="79"/>
      <c r="G28" s="79"/>
      <c r="H28" s="52">
        <f t="shared" ca="1" si="8"/>
        <v>1.149870232701359</v>
      </c>
      <c r="I28" s="21">
        <f t="shared" ca="1" si="9"/>
        <v>4272.1729560000012</v>
      </c>
      <c r="J28" s="4" cm="1">
        <f t="array" aca="1" ref="J28" ca="1">_FV(U28,"Change (%)",TRUE)</f>
        <v>1.5647999999999999E-2</v>
      </c>
      <c r="K28" s="21">
        <f t="shared" ca="1" si="10"/>
        <v>146.660456815488</v>
      </c>
      <c r="L28" s="48" cm="1">
        <f t="array" aca="1" ref="L28" ca="1">_FV(U28,"Price")</f>
        <v>488.73</v>
      </c>
      <c r="M28" s="8">
        <f t="shared" si="7"/>
        <v>1.9672118248550079E-2</v>
      </c>
      <c r="N28" s="3"/>
      <c r="O28" s="3" t="s">
        <v>71</v>
      </c>
      <c r="P28" s="21">
        <v>5100.3</v>
      </c>
      <c r="Q28" s="14">
        <f t="shared" ca="1" si="11"/>
        <v>2932.38</v>
      </c>
      <c r="R28" s="14">
        <v>227.33</v>
      </c>
      <c r="S28" s="3">
        <v>6</v>
      </c>
      <c r="T28" s="94" t="s">
        <v>10</v>
      </c>
      <c r="U28" s="17" t="e" vm="26">
        <v>#VALUE!</v>
      </c>
      <c r="V28" s="53">
        <v>11</v>
      </c>
      <c r="W28" s="79"/>
      <c r="X28" s="79"/>
    </row>
    <row r="29" spans="1:26" ht="15.6" x14ac:dyDescent="0.35">
      <c r="A29" s="79"/>
      <c r="B29" s="79"/>
      <c r="C29" s="111">
        <f t="shared" si="6"/>
        <v>4.0831361158769272E-2</v>
      </c>
      <c r="D29" s="116" t="s">
        <v>78</v>
      </c>
      <c r="E29" s="79"/>
      <c r="F29" s="79"/>
      <c r="G29" s="79"/>
      <c r="H29" s="52">
        <f t="shared" ca="1" si="8"/>
        <v>0.2371364653243849</v>
      </c>
      <c r="I29" s="21">
        <f t="shared" ca="1" si="9"/>
        <v>322.04588400000102</v>
      </c>
      <c r="J29" s="4" cm="1">
        <f t="array" aca="1" ref="J29" ca="1">_FV(U29,"Change (%)",TRUE)</f>
        <v>-9.8659999999999998E-3</v>
      </c>
      <c r="K29" s="21">
        <f t="shared" ca="1" si="10"/>
        <v>-51.268135091544004</v>
      </c>
      <c r="L29" s="48" cm="1">
        <f t="array" aca="1" ref="L29" ca="1">_FV(U29,"Price")</f>
        <v>270.97000000000003</v>
      </c>
      <c r="M29" s="8">
        <f t="shared" si="7"/>
        <v>1.8800810381885868E-2</v>
      </c>
      <c r="N29" s="3"/>
      <c r="O29" s="3" t="s">
        <v>72</v>
      </c>
      <c r="P29" s="21">
        <v>4874.3999999999996</v>
      </c>
      <c r="Q29" s="14">
        <f t="shared" ca="1" si="11"/>
        <v>1625.8200000000002</v>
      </c>
      <c r="R29" s="14">
        <v>219.03</v>
      </c>
      <c r="S29" s="3">
        <v>6</v>
      </c>
      <c r="T29" s="94" t="s">
        <v>85</v>
      </c>
      <c r="U29" s="17" t="e" vm="27">
        <v>#VALUE!</v>
      </c>
      <c r="V29" s="53">
        <v>12</v>
      </c>
      <c r="W29" s="79"/>
      <c r="X29" s="79"/>
    </row>
    <row r="30" spans="1:26" ht="16.2" thickBot="1" x14ac:dyDescent="0.4">
      <c r="A30" s="79"/>
      <c r="B30" s="79"/>
      <c r="C30" s="111">
        <f t="shared" si="6"/>
        <v>0.10224849885495722</v>
      </c>
      <c r="D30" s="116" t="s">
        <v>70</v>
      </c>
      <c r="E30" s="79"/>
      <c r="F30" s="79"/>
      <c r="G30" s="79"/>
      <c r="H30" s="54">
        <f t="shared" ca="1" si="8"/>
        <v>0.30046017699115041</v>
      </c>
      <c r="I30" s="87">
        <f t="shared" ca="1" si="9"/>
        <v>1985.869560000001</v>
      </c>
      <c r="J30" s="62" cm="1">
        <f t="array" aca="1" ref="J30" ca="1">_FV(U30,"Change (%)",TRUE)</f>
        <v>1.4918000000000001E-2</v>
      </c>
      <c r="K30" s="87">
        <f t="shared" ca="1" si="10"/>
        <v>175.17013303608002</v>
      </c>
      <c r="L30" s="56" cm="1">
        <f t="array" aca="1" ref="L30" ca="1">_FV(U30,"Price")</f>
        <v>183.69</v>
      </c>
      <c r="M30" s="57">
        <f t="shared" si="7"/>
        <v>3.7630664359327215E-2</v>
      </c>
      <c r="N30" s="58"/>
      <c r="O30" s="58" t="s">
        <v>74</v>
      </c>
      <c r="P30" s="87">
        <v>9756.33</v>
      </c>
      <c r="Q30" s="59">
        <f t="shared" ca="1" si="11"/>
        <v>3673.8</v>
      </c>
      <c r="R30" s="59">
        <v>141.25</v>
      </c>
      <c r="S30" s="58">
        <v>20</v>
      </c>
      <c r="T30" s="95" t="s">
        <v>11</v>
      </c>
      <c r="U30" s="63" t="e" vm="15">
        <v>#VALUE!</v>
      </c>
      <c r="V30" s="61">
        <v>13</v>
      </c>
      <c r="W30" s="79"/>
      <c r="X30" s="79"/>
    </row>
    <row r="31" spans="1:26" ht="15.6" x14ac:dyDescent="0.35">
      <c r="A31" s="79"/>
      <c r="B31" s="79"/>
      <c r="C31" s="111">
        <f t="shared" si="6"/>
        <v>0.13422989459990461</v>
      </c>
      <c r="D31" s="116" t="s">
        <v>72</v>
      </c>
      <c r="E31" s="79"/>
      <c r="F31" s="79"/>
      <c r="G31" s="79"/>
      <c r="H31" s="125"/>
      <c r="I31" s="125"/>
      <c r="J31" s="125"/>
      <c r="K31" s="125"/>
      <c r="L31" s="125"/>
      <c r="M31" s="125"/>
      <c r="N31" s="125"/>
      <c r="O31" s="125"/>
      <c r="P31" s="125"/>
      <c r="Q31" s="125"/>
      <c r="R31" s="125"/>
      <c r="S31" s="125"/>
      <c r="T31" s="125"/>
      <c r="U31" s="125"/>
      <c r="V31" s="125"/>
      <c r="W31" s="79"/>
      <c r="X31" s="79"/>
    </row>
    <row r="32" spans="1:26" ht="16.2" thickBot="1" x14ac:dyDescent="0.4">
      <c r="A32" s="79"/>
      <c r="B32" s="79"/>
      <c r="C32" s="111">
        <f t="shared" si="6"/>
        <v>2.5649081933101607E-2</v>
      </c>
      <c r="D32" s="116" t="s">
        <v>81</v>
      </c>
      <c r="E32" s="79"/>
      <c r="F32" s="79"/>
      <c r="G32" s="79"/>
      <c r="H32" s="125"/>
      <c r="I32" s="125"/>
      <c r="J32" s="125"/>
      <c r="K32" s="125"/>
      <c r="L32" s="125"/>
      <c r="M32" s="125"/>
      <c r="N32" s="125"/>
      <c r="O32" s="125"/>
      <c r="P32" s="125"/>
      <c r="Q32" s="125"/>
      <c r="R32" s="125"/>
      <c r="S32" s="125"/>
      <c r="T32" s="125"/>
      <c r="U32" s="125"/>
      <c r="V32" s="125"/>
      <c r="W32" s="79"/>
      <c r="X32" s="79"/>
    </row>
    <row r="33" spans="1:24" ht="16.2" thickBot="1" x14ac:dyDescent="0.4">
      <c r="A33" s="79"/>
      <c r="B33" s="79"/>
      <c r="C33" s="111">
        <f t="shared" si="6"/>
        <v>2.2715023083294334E-2</v>
      </c>
      <c r="D33" s="116" t="s">
        <v>76</v>
      </c>
      <c r="E33" s="79"/>
      <c r="F33" s="79"/>
      <c r="G33" s="79"/>
      <c r="H33" s="144" t="s">
        <v>56</v>
      </c>
      <c r="I33" s="145"/>
      <c r="J33" s="145"/>
      <c r="K33" s="145"/>
      <c r="L33" s="145"/>
      <c r="M33" s="145"/>
      <c r="N33" s="145"/>
      <c r="O33" s="145"/>
      <c r="P33" s="145"/>
      <c r="Q33" s="145"/>
      <c r="R33" s="145"/>
      <c r="S33" s="145"/>
      <c r="T33" s="145"/>
      <c r="U33" s="145"/>
      <c r="V33" s="146"/>
      <c r="W33" s="79"/>
      <c r="X33" s="79"/>
    </row>
    <row r="34" spans="1:24" ht="15.6" x14ac:dyDescent="0.35">
      <c r="A34" s="79"/>
      <c r="B34" s="79"/>
      <c r="C34" s="111">
        <f t="shared" si="6"/>
        <v>1.258833515090443E-2</v>
      </c>
      <c r="D34" s="116" t="s">
        <v>77</v>
      </c>
      <c r="E34" s="79"/>
      <c r="F34" s="79"/>
      <c r="G34" s="79"/>
      <c r="H34" s="118" t="s">
        <v>65</v>
      </c>
      <c r="I34" s="119" t="s">
        <v>66</v>
      </c>
      <c r="J34" s="119" t="s">
        <v>64</v>
      </c>
      <c r="K34" s="119" t="s">
        <v>7</v>
      </c>
      <c r="L34" s="119" t="s">
        <v>6</v>
      </c>
      <c r="M34" s="119" t="s">
        <v>4</v>
      </c>
      <c r="N34" s="119" t="s">
        <v>49</v>
      </c>
      <c r="O34" s="119" t="s">
        <v>69</v>
      </c>
      <c r="P34" s="119" t="s">
        <v>63</v>
      </c>
      <c r="Q34" s="119" t="s">
        <v>3</v>
      </c>
      <c r="R34" s="119" t="s">
        <v>2</v>
      </c>
      <c r="S34" s="119" t="s">
        <v>1</v>
      </c>
      <c r="T34" s="119" t="s">
        <v>0</v>
      </c>
      <c r="U34" s="119"/>
      <c r="V34" s="120" t="s">
        <v>5</v>
      </c>
      <c r="W34" s="79"/>
      <c r="X34" s="79"/>
    </row>
    <row r="35" spans="1:24" ht="15.6" x14ac:dyDescent="0.35">
      <c r="A35" s="79"/>
      <c r="B35" s="79"/>
      <c r="C35" s="111">
        <f t="shared" si="6"/>
        <v>7.8546147804824887E-3</v>
      </c>
      <c r="D35" s="116" t="s">
        <v>79</v>
      </c>
      <c r="E35" s="79"/>
      <c r="F35" s="79"/>
      <c r="G35" s="79"/>
      <c r="H35" s="52">
        <f ca="1">(L35-R35)/R35</f>
        <v>0.78910002088118614</v>
      </c>
      <c r="I35" s="21">
        <f t="shared" ref="I35:I44" ca="1" si="12">(L35*S35*$M$2-P35)</f>
        <v>5635.5028800000018</v>
      </c>
      <c r="J35" s="2" cm="1">
        <f t="array" aca="1" ref="J35" ca="1">_FV(U35,"Change (%)",TRUE)</f>
        <v>2.8694999999999998E-2</v>
      </c>
      <c r="K35" s="21">
        <f ca="1">J35*Q35*$M$2</f>
        <v>432.19757279160001</v>
      </c>
      <c r="L35" s="48" cm="1">
        <f t="array" aca="1" ref="L35" ca="1">_FV(U35,"Price")</f>
        <v>85.68</v>
      </c>
      <c r="M35" s="8">
        <f t="shared" ref="M35:M36" si="13">P35/$U$5</f>
        <v>3.6357606039401635E-2</v>
      </c>
      <c r="N35" s="3"/>
      <c r="O35" s="3" t="s">
        <v>74</v>
      </c>
      <c r="P35" s="21">
        <v>9426.27</v>
      </c>
      <c r="Q35" s="14">
        <f ca="1">L35*S35</f>
        <v>4712.4000000000005</v>
      </c>
      <c r="R35" s="14">
        <v>47.89</v>
      </c>
      <c r="S35" s="3">
        <v>55</v>
      </c>
      <c r="T35" s="94" t="s">
        <v>23</v>
      </c>
      <c r="U35" s="17" t="e" vm="28">
        <v>#VALUE!</v>
      </c>
      <c r="V35" s="53">
        <v>14</v>
      </c>
      <c r="W35" s="79"/>
      <c r="X35" s="79"/>
    </row>
    <row r="36" spans="1:24" ht="16.2" thickBot="1" x14ac:dyDescent="0.4">
      <c r="A36" s="79"/>
      <c r="B36" s="79"/>
      <c r="C36" s="112">
        <f>SUM(C21:C35)</f>
        <v>1</v>
      </c>
      <c r="D36" s="117" t="s">
        <v>84</v>
      </c>
      <c r="E36" s="79"/>
      <c r="F36" s="79"/>
      <c r="G36" s="79"/>
      <c r="H36" s="52">
        <f t="shared" ref="H36:H44" ca="1" si="14">(L36-R36)/R36</f>
        <v>0.30176106615897191</v>
      </c>
      <c r="I36" s="21">
        <f t="shared" ca="1" si="12"/>
        <v>543.02210000000014</v>
      </c>
      <c r="J36" s="2" cm="1">
        <f t="array" aca="1" ref="J36" ca="1">_FV(U36,"Change (%)",TRUE)</f>
        <v>4.0379999999999999E-3</v>
      </c>
      <c r="K36" s="21">
        <f t="shared" ref="K36:K44" ca="1" si="15">J36*Q36*$M$2</f>
        <v>10.589582719800001</v>
      </c>
      <c r="L36" s="48" cm="1">
        <f t="array" aca="1" ref="L36" ca="1">_FV(U36,"Price")</f>
        <v>27.35</v>
      </c>
      <c r="M36" s="8">
        <f t="shared" si="13"/>
        <v>8.0205836937297693E-3</v>
      </c>
      <c r="N36" s="3"/>
      <c r="O36" s="3" t="s">
        <v>73</v>
      </c>
      <c r="P36" s="21">
        <v>2079.46</v>
      </c>
      <c r="Q36" s="14">
        <f t="shared" ref="Q36:Q44" ca="1" si="16">L36*S36</f>
        <v>820.5</v>
      </c>
      <c r="R36" s="14">
        <v>21.01</v>
      </c>
      <c r="S36" s="3">
        <v>30</v>
      </c>
      <c r="T36" s="94" t="s">
        <v>14</v>
      </c>
      <c r="U36" s="17" t="e" vm="29">
        <v>#VALUE!</v>
      </c>
      <c r="V36" s="53">
        <v>15</v>
      </c>
      <c r="W36" s="79"/>
      <c r="X36" s="79"/>
    </row>
    <row r="37" spans="1:24" ht="15.6" x14ac:dyDescent="0.35">
      <c r="A37" s="79"/>
      <c r="B37" s="79"/>
      <c r="C37" s="113"/>
      <c r="F37" s="79"/>
      <c r="G37" s="79"/>
      <c r="H37" s="52">
        <f t="shared" ca="1" si="14"/>
        <v>0.54133357558139528</v>
      </c>
      <c r="I37" s="21">
        <f t="shared" ca="1" si="12"/>
        <v>3708.4920959999999</v>
      </c>
      <c r="J37" s="2" cm="1">
        <f t="array" aca="1" ref="J37" ca="1">_FV(U37,"Change (%)",TRUE)</f>
        <v>5.8969999999999997E-4</v>
      </c>
      <c r="K37" s="21">
        <f t="shared" ca="1" si="15"/>
        <v>7.6750528820112001</v>
      </c>
      <c r="L37" s="49" cm="1">
        <f t="array" aca="1" ref="L37" ca="1">_FV(U37,"Price")</f>
        <v>169.67</v>
      </c>
      <c r="M37" s="8">
        <f>P37/$U$5</f>
        <v>3.5896379856596383E-2</v>
      </c>
      <c r="N37" s="3"/>
      <c r="O37" s="3" t="s">
        <v>70</v>
      </c>
      <c r="P37" s="21">
        <v>9306.69</v>
      </c>
      <c r="Q37" s="14">
        <f t="shared" ca="1" si="16"/>
        <v>4072.08</v>
      </c>
      <c r="R37" s="14">
        <v>110.08</v>
      </c>
      <c r="S37" s="3">
        <v>24</v>
      </c>
      <c r="T37" s="94" t="s">
        <v>15</v>
      </c>
      <c r="U37" s="17" t="e" vm="30">
        <v>#VALUE!</v>
      </c>
      <c r="V37" s="53">
        <v>16</v>
      </c>
      <c r="W37" s="79"/>
      <c r="X37" s="79"/>
    </row>
    <row r="38" spans="1:24" ht="15.6" x14ac:dyDescent="0.35">
      <c r="A38" s="79"/>
      <c r="B38" s="79"/>
      <c r="C38" s="79"/>
      <c r="D38" s="79"/>
      <c r="E38" s="79"/>
      <c r="F38" s="79"/>
      <c r="G38" s="79"/>
      <c r="H38" s="52">
        <f t="shared" ca="1" si="14"/>
        <v>0.21213302752293581</v>
      </c>
      <c r="I38" s="21">
        <f t="shared" ca="1" si="12"/>
        <v>71.699476000000232</v>
      </c>
      <c r="J38" s="2" cm="1">
        <f t="array" aca="1" ref="J38" ca="1">_FV(U38,"Change (%)",TRUE)</f>
        <v>9.0910000000000003E-4</v>
      </c>
      <c r="K38" s="21">
        <f t="shared" ca="1" si="15"/>
        <v>3.0712302356316004</v>
      </c>
      <c r="L38" s="48" cm="1">
        <f t="array" aca="1" ref="L38" ca="1">_FV(U38,"Price")</f>
        <v>1056.98</v>
      </c>
      <c r="M38" s="8">
        <f t="shared" ref="M38:M44" si="17">P38/$U$5</f>
        <v>1.2753802647495375E-2</v>
      </c>
      <c r="N38" s="3"/>
      <c r="O38" s="3" t="s">
        <v>74</v>
      </c>
      <c r="P38" s="21">
        <v>3306.62</v>
      </c>
      <c r="Q38" s="14">
        <f t="shared" ca="1" si="16"/>
        <v>1056.98</v>
      </c>
      <c r="R38" s="14">
        <v>872</v>
      </c>
      <c r="S38" s="3">
        <v>1</v>
      </c>
      <c r="T38" s="94" t="s">
        <v>16</v>
      </c>
      <c r="U38" s="17" t="e" vm="31">
        <v>#VALUE!</v>
      </c>
      <c r="V38" s="53">
        <v>17</v>
      </c>
      <c r="W38" s="79"/>
      <c r="X38" s="79"/>
    </row>
    <row r="39" spans="1:24" ht="15.6" x14ac:dyDescent="0.35">
      <c r="A39" s="79"/>
      <c r="B39" s="79"/>
      <c r="C39" s="79"/>
      <c r="D39" s="79"/>
      <c r="E39" s="79"/>
      <c r="F39" s="79"/>
      <c r="G39" s="79"/>
      <c r="H39" s="52">
        <f t="shared" ca="1" si="14"/>
        <v>7.3137473658113723E-3</v>
      </c>
      <c r="I39" s="21">
        <f t="shared" ca="1" si="12"/>
        <v>-416.56291199999941</v>
      </c>
      <c r="J39" s="2" cm="1">
        <f t="array" aca="1" ref="J39" ca="1">_FV(U39,"Change (%)",TRUE)</f>
        <v>2.4586999999999998E-2</v>
      </c>
      <c r="K39" s="21">
        <f t="shared" ca="1" si="15"/>
        <v>153.259550722656</v>
      </c>
      <c r="L39" s="48" cm="1">
        <f t="array" aca="1" ref="L39" ca="1">_FV(U39,"Price")</f>
        <v>81.260000000000005</v>
      </c>
      <c r="M39" s="8">
        <f t="shared" si="17"/>
        <v>2.5649081933101607E-2</v>
      </c>
      <c r="N39" s="3"/>
      <c r="O39" s="3" t="s">
        <v>81</v>
      </c>
      <c r="P39" s="21">
        <v>6649.92</v>
      </c>
      <c r="Q39" s="14">
        <f t="shared" ca="1" si="16"/>
        <v>1950.2400000000002</v>
      </c>
      <c r="R39" s="108">
        <v>80.67</v>
      </c>
      <c r="S39" s="3">
        <v>24</v>
      </c>
      <c r="T39" s="94" t="s">
        <v>17</v>
      </c>
      <c r="U39" s="17" t="e" vm="13">
        <v>#VALUE!</v>
      </c>
      <c r="V39" s="53">
        <v>18</v>
      </c>
      <c r="W39" s="79"/>
      <c r="X39" s="79"/>
    </row>
    <row r="40" spans="1:24" ht="15.6" x14ac:dyDescent="0.35">
      <c r="A40" s="79"/>
      <c r="B40" s="79"/>
      <c r="C40" s="79"/>
      <c r="D40" s="79"/>
      <c r="E40" s="79"/>
      <c r="F40" s="79"/>
      <c r="G40" s="79"/>
      <c r="H40" s="52">
        <f t="shared" ca="1" si="14"/>
        <v>4.3517679057116961E-2</v>
      </c>
      <c r="I40" s="21">
        <f t="shared" ca="1" si="12"/>
        <v>-181.12470800000028</v>
      </c>
      <c r="J40" s="4" cm="1">
        <f t="array" aca="1" ref="J40" ca="1">_FV(U40,"Change (%)",TRUE)</f>
        <v>1.503E-3</v>
      </c>
      <c r="K40" s="21">
        <f t="shared" ca="1" si="15"/>
        <v>3.6493220138760001</v>
      </c>
      <c r="L40" s="48" cm="1">
        <f t="array" aca="1" ref="L40" ca="1">_FV(U40,"Price")</f>
        <v>126.61</v>
      </c>
      <c r="M40" s="8">
        <f t="shared" si="17"/>
        <v>1.0063625145227621E-2</v>
      </c>
      <c r="N40" s="3"/>
      <c r="O40" s="3" t="s">
        <v>75</v>
      </c>
      <c r="P40" s="21">
        <v>2609.15</v>
      </c>
      <c r="Q40" s="14">
        <f t="shared" ca="1" si="16"/>
        <v>759.66</v>
      </c>
      <c r="R40" s="14">
        <v>121.33</v>
      </c>
      <c r="S40" s="3">
        <v>6</v>
      </c>
      <c r="T40" s="94" t="s">
        <v>24</v>
      </c>
      <c r="U40" s="23" t="e" vm="32">
        <v>#VALUE!</v>
      </c>
      <c r="V40" s="53">
        <v>19</v>
      </c>
      <c r="W40" s="79"/>
      <c r="X40" s="79"/>
    </row>
    <row r="41" spans="1:24" ht="15.6" x14ac:dyDescent="0.35">
      <c r="A41" s="79"/>
      <c r="B41" s="79"/>
      <c r="C41" s="79"/>
      <c r="D41" s="79"/>
      <c r="E41" s="79"/>
      <c r="F41" s="79"/>
      <c r="G41" s="79"/>
      <c r="H41" s="52">
        <f t="shared" ca="1" si="14"/>
        <v>-0.33514338284791095</v>
      </c>
      <c r="I41" s="21">
        <f t="shared" ca="1" si="12"/>
        <v>-3734.3556399999989</v>
      </c>
      <c r="J41" s="4" cm="1">
        <f t="array" aca="1" ref="J41" ca="1">_FV(U41,"Change (%)",TRUE)</f>
        <v>7.2750000000000002E-3</v>
      </c>
      <c r="K41" s="21">
        <f t="shared" ca="1" si="15"/>
        <v>41.338036719000009</v>
      </c>
      <c r="L41" s="48" cm="1">
        <f t="array" aca="1" ref="L41" ca="1">_FV(U41,"Price")</f>
        <v>148.15</v>
      </c>
      <c r="M41" s="8">
        <f t="shared" si="17"/>
        <v>3.6320154072224518E-2</v>
      </c>
      <c r="N41" s="3"/>
      <c r="O41" s="3" t="s">
        <v>71</v>
      </c>
      <c r="P41" s="21">
        <v>9416.56</v>
      </c>
      <c r="Q41" s="14">
        <f t="shared" ca="1" si="16"/>
        <v>1777.8000000000002</v>
      </c>
      <c r="R41" s="14">
        <v>222.83</v>
      </c>
      <c r="S41" s="3">
        <v>12</v>
      </c>
      <c r="T41" s="94" t="s">
        <v>25</v>
      </c>
      <c r="U41" s="23" t="e" vm="33">
        <v>#VALUE!</v>
      </c>
      <c r="V41" s="53">
        <v>20</v>
      </c>
      <c r="W41" s="79"/>
      <c r="X41" s="79"/>
    </row>
    <row r="42" spans="1:24" ht="15.6" x14ac:dyDescent="0.35">
      <c r="A42" s="79"/>
      <c r="B42" s="79"/>
      <c r="C42" s="79"/>
      <c r="D42" s="79"/>
      <c r="E42" s="79"/>
      <c r="F42" s="79"/>
      <c r="G42" s="79"/>
      <c r="H42" s="52">
        <f t="shared" ca="1" si="14"/>
        <v>3.4519155590304863E-2</v>
      </c>
      <c r="I42" s="21">
        <f t="shared" ca="1" si="12"/>
        <v>-6.3159399999985908</v>
      </c>
      <c r="J42" s="4" cm="1">
        <f t="array" aca="1" ref="J42" ca="1">_FV(U42,"Change (%)",TRUE)</f>
        <v>1.8159999999999999E-2</v>
      </c>
      <c r="K42" s="21">
        <f t="shared" ca="1" si="15"/>
        <v>153.59916972960002</v>
      </c>
      <c r="L42" s="48" cm="1">
        <f t="array" aca="1" ref="L42" ca="1">_FV(U42,"Price")</f>
        <v>264.63</v>
      </c>
      <c r="M42" s="8">
        <f t="shared" si="17"/>
        <v>3.2647701340194159E-2</v>
      </c>
      <c r="N42" s="3"/>
      <c r="O42" s="3" t="s">
        <v>71</v>
      </c>
      <c r="P42" s="21">
        <v>8464.42</v>
      </c>
      <c r="Q42" s="14">
        <f t="shared" ca="1" si="16"/>
        <v>2646.3</v>
      </c>
      <c r="R42" s="14">
        <v>255.8</v>
      </c>
      <c r="S42" s="3">
        <v>10</v>
      </c>
      <c r="T42" s="94" t="s">
        <v>46</v>
      </c>
      <c r="U42" s="23" t="e" vm="11">
        <v>#VALUE!</v>
      </c>
      <c r="V42" s="53">
        <v>21</v>
      </c>
      <c r="W42" s="79"/>
      <c r="X42" s="79"/>
    </row>
    <row r="43" spans="1:24" ht="15.6" x14ac:dyDescent="0.35">
      <c r="A43" s="79"/>
      <c r="B43" s="79"/>
      <c r="C43" s="79"/>
      <c r="D43" s="79"/>
      <c r="E43" s="79"/>
      <c r="F43" s="79"/>
      <c r="G43" s="79"/>
      <c r="H43" s="52">
        <f t="shared" ca="1" si="14"/>
        <v>-0.15854098952690504</v>
      </c>
      <c r="I43" s="21">
        <f t="shared" ca="1" si="12"/>
        <v>-1128.7078000000001</v>
      </c>
      <c r="J43" s="4" cm="1">
        <f t="array" aca="1" ref="J43" ca="1">_FV(U43,"Change (%)",TRUE)</f>
        <v>1.9694E-2</v>
      </c>
      <c r="K43" s="21">
        <f t="shared" ca="1" si="15"/>
        <v>102.6648653268</v>
      </c>
      <c r="L43" s="48" cm="1">
        <f t="array" aca="1" ref="L43" ca="1">_FV(U43,"Price")</f>
        <v>23.3</v>
      </c>
      <c r="M43" s="8">
        <f t="shared" si="17"/>
        <v>2.4460300181952534E-2</v>
      </c>
      <c r="N43" s="3"/>
      <c r="O43" s="3" t="s">
        <v>73</v>
      </c>
      <c r="P43" s="21">
        <v>6341.71</v>
      </c>
      <c r="Q43" s="14">
        <f t="shared" ca="1" si="16"/>
        <v>1631</v>
      </c>
      <c r="R43" s="14">
        <v>27.69</v>
      </c>
      <c r="S43" s="3">
        <v>70</v>
      </c>
      <c r="T43" s="94" t="s">
        <v>54</v>
      </c>
      <c r="U43" s="23" t="e" vm="34">
        <v>#VALUE!</v>
      </c>
      <c r="V43" s="53">
        <v>21</v>
      </c>
      <c r="W43" s="79"/>
      <c r="X43" s="79"/>
    </row>
    <row r="44" spans="1:24" ht="16.2" thickBot="1" x14ac:dyDescent="0.4">
      <c r="A44" s="79"/>
      <c r="B44" s="79"/>
      <c r="C44" s="79"/>
      <c r="D44" s="79"/>
      <c r="E44" s="79"/>
      <c r="F44" s="79"/>
      <c r="G44" s="79"/>
      <c r="H44" s="54">
        <f t="shared" ca="1" si="14"/>
        <v>-0.17110138093634225</v>
      </c>
      <c r="I44" s="87">
        <f t="shared" ca="1" si="12"/>
        <v>-1558.2714399999995</v>
      </c>
      <c r="J44" s="55" cm="1">
        <f t="array" aca="1" ref="J44" ca="1">_FV(U44,"Change (%)",TRUE)</f>
        <v>2.5417000000000002E-2</v>
      </c>
      <c r="K44" s="87">
        <f t="shared" ca="1" si="15"/>
        <v>159.94101095952001</v>
      </c>
      <c r="L44" s="56" cm="1">
        <f t="array" aca="1" ref="L44" ca="1">_FV(U44,"Price")</f>
        <v>24.61</v>
      </c>
      <c r="M44" s="57">
        <f t="shared" si="17"/>
        <v>3.0281516138943636E-2</v>
      </c>
      <c r="N44" s="58"/>
      <c r="O44" s="58" t="s">
        <v>82</v>
      </c>
      <c r="P44" s="87">
        <v>7850.95</v>
      </c>
      <c r="Q44" s="59">
        <f t="shared" ca="1" si="16"/>
        <v>1968.8</v>
      </c>
      <c r="R44" s="59">
        <v>29.69</v>
      </c>
      <c r="S44" s="58">
        <v>80</v>
      </c>
      <c r="T44" s="95" t="s">
        <v>51</v>
      </c>
      <c r="U44" s="64" t="e" vm="35">
        <v>#VALUE!</v>
      </c>
      <c r="V44" s="61">
        <v>22</v>
      </c>
      <c r="W44" s="79"/>
      <c r="X44" s="79"/>
    </row>
    <row r="45" spans="1:24" x14ac:dyDescent="0.25">
      <c r="A45" s="79"/>
      <c r="B45" s="79"/>
      <c r="C45" s="79"/>
      <c r="D45" s="79"/>
      <c r="E45" s="79"/>
      <c r="F45" s="79"/>
      <c r="G45" s="79"/>
      <c r="H45" s="125"/>
      <c r="I45" s="125"/>
      <c r="J45" s="125"/>
      <c r="K45" s="125"/>
      <c r="L45" s="125"/>
      <c r="M45" s="125"/>
      <c r="N45" s="125"/>
      <c r="O45" s="125"/>
      <c r="P45" s="125"/>
      <c r="Q45" s="125"/>
      <c r="R45" s="125"/>
      <c r="S45" s="125"/>
      <c r="T45" s="125"/>
      <c r="U45" s="125"/>
      <c r="V45" s="125"/>
      <c r="W45" s="79"/>
      <c r="X45" s="79"/>
    </row>
    <row r="46" spans="1:24" ht="15.6" customHeight="1" thickBot="1" x14ac:dyDescent="0.3">
      <c r="A46" s="79"/>
      <c r="B46" s="79"/>
      <c r="C46" s="79"/>
      <c r="D46" s="79"/>
      <c r="E46" s="79"/>
      <c r="F46" s="79"/>
      <c r="G46" s="79"/>
      <c r="H46" s="125"/>
      <c r="I46" s="125"/>
      <c r="J46" s="125"/>
      <c r="K46" s="125"/>
      <c r="L46" s="125"/>
      <c r="M46" s="125"/>
      <c r="N46" s="125"/>
      <c r="O46" s="125"/>
      <c r="P46" s="125"/>
      <c r="Q46" s="125"/>
      <c r="R46" s="125"/>
      <c r="S46" s="125"/>
      <c r="T46" s="125"/>
      <c r="U46" s="125"/>
      <c r="V46" s="125"/>
      <c r="W46" s="79"/>
      <c r="X46" s="79"/>
    </row>
    <row r="47" spans="1:24" ht="16.2" thickBot="1" x14ac:dyDescent="0.4">
      <c r="A47" s="79"/>
      <c r="B47" s="79"/>
      <c r="C47" s="79"/>
      <c r="D47" s="79"/>
      <c r="E47" s="79"/>
      <c r="F47" s="79"/>
      <c r="G47" s="79"/>
      <c r="H47" s="144" t="s">
        <v>30</v>
      </c>
      <c r="I47" s="145"/>
      <c r="J47" s="145"/>
      <c r="K47" s="145"/>
      <c r="L47" s="145"/>
      <c r="M47" s="145"/>
      <c r="N47" s="145"/>
      <c r="O47" s="145"/>
      <c r="P47" s="145"/>
      <c r="Q47" s="145"/>
      <c r="R47" s="145"/>
      <c r="S47" s="145"/>
      <c r="T47" s="145"/>
      <c r="U47" s="145"/>
      <c r="V47" s="146"/>
      <c r="W47" s="79"/>
      <c r="X47" s="79"/>
    </row>
    <row r="48" spans="1:24" ht="15.6" x14ac:dyDescent="0.35">
      <c r="A48" s="79"/>
      <c r="B48" s="79"/>
      <c r="C48" s="79"/>
      <c r="D48" s="79"/>
      <c r="E48" s="79"/>
      <c r="F48" s="79"/>
      <c r="G48" s="79"/>
      <c r="H48" s="118" t="s">
        <v>65</v>
      </c>
      <c r="I48" s="119" t="s">
        <v>66</v>
      </c>
      <c r="J48" s="119" t="s">
        <v>64</v>
      </c>
      <c r="K48" s="119" t="s">
        <v>7</v>
      </c>
      <c r="L48" s="119" t="s">
        <v>6</v>
      </c>
      <c r="M48" s="119" t="s">
        <v>4</v>
      </c>
      <c r="N48" s="119" t="s">
        <v>49</v>
      </c>
      <c r="O48" s="119" t="s">
        <v>69</v>
      </c>
      <c r="P48" s="119" t="s">
        <v>63</v>
      </c>
      <c r="Q48" s="119" t="s">
        <v>3</v>
      </c>
      <c r="R48" s="119" t="s">
        <v>2</v>
      </c>
      <c r="S48" s="119" t="s">
        <v>1</v>
      </c>
      <c r="T48" s="119" t="s">
        <v>0</v>
      </c>
      <c r="U48" s="119"/>
      <c r="V48" s="120" t="s">
        <v>5</v>
      </c>
      <c r="W48" s="79"/>
      <c r="X48" s="79"/>
    </row>
    <row r="49" spans="1:24" ht="15.6" x14ac:dyDescent="0.35">
      <c r="A49" s="79"/>
      <c r="B49" s="79"/>
      <c r="C49" s="79"/>
      <c r="D49" s="79"/>
      <c r="E49" s="79"/>
      <c r="F49" s="79"/>
      <c r="G49" s="79"/>
      <c r="H49" s="52">
        <f ca="1">(L49-R49)/R49</f>
        <v>0.17670900734628903</v>
      </c>
      <c r="I49" s="88">
        <f ca="1">(L49*S49*$M$2-P49)</f>
        <v>346.43835200000012</v>
      </c>
      <c r="J49" s="4" cm="1">
        <f t="array" aca="1" ref="J49" ca="1">_FV(U49,"Change (%)",TRUE)</f>
        <v>-6.9020000000000001E-3</v>
      </c>
      <c r="K49" s="21">
        <f ca="1">J49*Q49*$M$2</f>
        <v>-43.038513945504008</v>
      </c>
      <c r="L49" s="5" cm="1">
        <f t="array" aca="1" ref="L49" ca="1">_FV(U49,"Price")</f>
        <v>325.16000000000003</v>
      </c>
      <c r="M49" s="9">
        <f>P49/$U$5</f>
        <v>2.2715023083294334E-2</v>
      </c>
      <c r="N49" s="6"/>
      <c r="O49" s="6" t="s">
        <v>76</v>
      </c>
      <c r="P49" s="88">
        <v>5889.22</v>
      </c>
      <c r="Q49" s="15">
        <f ca="1">L49*S49</f>
        <v>1950.96</v>
      </c>
      <c r="R49" s="15">
        <v>276.33</v>
      </c>
      <c r="S49" s="6">
        <v>6</v>
      </c>
      <c r="T49" s="96" t="s">
        <v>26</v>
      </c>
      <c r="U49" s="23" t="e" vm="36">
        <v>#VALUE!</v>
      </c>
      <c r="V49" s="53">
        <v>23</v>
      </c>
      <c r="W49" s="79"/>
      <c r="X49" s="79"/>
    </row>
    <row r="50" spans="1:24" ht="15.6" x14ac:dyDescent="0.35">
      <c r="A50" s="79"/>
      <c r="B50" s="79"/>
      <c r="C50" s="79"/>
      <c r="D50" s="79"/>
      <c r="E50" s="79"/>
      <c r="F50" s="79"/>
      <c r="G50" s="79"/>
      <c r="H50" s="52">
        <f t="shared" ref="H50:H54" ca="1" si="18">(L50-R50)/R50</f>
        <v>0.27324695121951215</v>
      </c>
      <c r="I50" s="88">
        <f t="shared" ref="I50:I54" ca="1" si="19">(L50*S50*$M$2-P50)</f>
        <v>178.28302499999995</v>
      </c>
      <c r="J50" s="4" cm="1">
        <f t="array" aca="1" ref="J50" ca="1">_FV(U50,"Change (%)",TRUE)</f>
        <v>3.6290000000000003E-2</v>
      </c>
      <c r="K50" s="21">
        <f t="shared" ref="K50:K54" ca="1" si="20">J50*Q50*$M$2</f>
        <v>48.440364677250003</v>
      </c>
      <c r="L50" s="5" cm="1">
        <f t="array" aca="1" ref="L50" ca="1">_FV(U50,"Price")</f>
        <v>16.704999999999998</v>
      </c>
      <c r="M50" s="9">
        <f t="shared" ref="M50:M54" si="21">P50/$U$5</f>
        <v>4.4607954273269456E-3</v>
      </c>
      <c r="N50" s="6"/>
      <c r="O50" s="6" t="s">
        <v>71</v>
      </c>
      <c r="P50" s="88">
        <v>1156.53</v>
      </c>
      <c r="Q50" s="15">
        <f t="shared" ref="Q50:Q54" ca="1" si="22">L50*S50</f>
        <v>417.62499999999994</v>
      </c>
      <c r="R50" s="15">
        <v>13.12</v>
      </c>
      <c r="S50" s="6">
        <v>25</v>
      </c>
      <c r="T50" s="96" t="s">
        <v>27</v>
      </c>
      <c r="U50" s="23" t="e" vm="37">
        <v>#VALUE!</v>
      </c>
      <c r="V50" s="53">
        <v>24</v>
      </c>
      <c r="W50" s="79"/>
      <c r="X50" s="79"/>
    </row>
    <row r="51" spans="1:24" ht="15.6" x14ac:dyDescent="0.35">
      <c r="A51" s="79"/>
      <c r="B51" s="79"/>
      <c r="C51" s="79"/>
      <c r="D51" s="79"/>
      <c r="E51" s="79"/>
      <c r="F51" s="79"/>
      <c r="G51" s="79"/>
      <c r="H51" s="52">
        <f t="shared" ca="1" si="18"/>
        <v>-0.26987447698744771</v>
      </c>
      <c r="I51" s="88">
        <f t="shared" ca="1" si="19"/>
        <v>-635.4362000000001</v>
      </c>
      <c r="J51" s="4" cm="1">
        <f t="array" aca="1" ref="J51" ca="1">_FV(U51,"Change (%)",TRUE)</f>
        <v>3.2543999999999997E-2</v>
      </c>
      <c r="K51" s="21">
        <f t="shared" ca="1" si="20"/>
        <v>36.301979347199996</v>
      </c>
      <c r="L51" s="5" cm="1">
        <f t="array" aca="1" ref="L51" ca="1">_FV(U51,"Price")</f>
        <v>34.9</v>
      </c>
      <c r="M51" s="9">
        <f t="shared" si="21"/>
        <v>6.7533495211200946E-3</v>
      </c>
      <c r="N51" s="6"/>
      <c r="O51" s="6" t="s">
        <v>77</v>
      </c>
      <c r="P51" s="88">
        <v>1750.91</v>
      </c>
      <c r="Q51" s="15">
        <f t="shared" ca="1" si="22"/>
        <v>349</v>
      </c>
      <c r="R51" s="15">
        <v>47.8</v>
      </c>
      <c r="S51" s="6">
        <v>10</v>
      </c>
      <c r="T51" s="96" t="s">
        <v>28</v>
      </c>
      <c r="U51" s="23" t="e" vm="38">
        <v>#VALUE!</v>
      </c>
      <c r="V51" s="53">
        <v>25</v>
      </c>
      <c r="W51" s="79"/>
      <c r="X51" s="79"/>
    </row>
    <row r="52" spans="1:24" ht="15.6" x14ac:dyDescent="0.35">
      <c r="A52" s="79"/>
      <c r="B52" s="79"/>
      <c r="C52" s="79"/>
      <c r="D52" s="79"/>
      <c r="E52" s="79"/>
      <c r="F52" s="79"/>
      <c r="G52" s="79"/>
      <c r="H52" s="52">
        <f t="shared" ca="1" si="18"/>
        <v>-8.4271703596077011E-2</v>
      </c>
      <c r="I52" s="88">
        <f t="shared" ca="1" si="19"/>
        <v>-304.16696999999976</v>
      </c>
      <c r="J52" s="4" cm="1">
        <f t="array" aca="1" ref="J52" ca="1">_FV(U52,"Change (%)",TRUE)</f>
        <v>7.94E-4</v>
      </c>
      <c r="K52" s="21">
        <f t="shared" ca="1" si="20"/>
        <v>0.9596625658200002</v>
      </c>
      <c r="L52" s="5" cm="1">
        <f t="array" aca="1" ref="L52" ca="1">_FV(U52,"Price")</f>
        <v>25.21</v>
      </c>
      <c r="M52" s="9">
        <f t="shared" si="21"/>
        <v>5.8349856297843349E-3</v>
      </c>
      <c r="N52" s="6"/>
      <c r="O52" s="6" t="s">
        <v>77</v>
      </c>
      <c r="P52" s="88">
        <v>1512.81</v>
      </c>
      <c r="Q52" s="15">
        <f t="shared" ca="1" si="22"/>
        <v>378.15000000000003</v>
      </c>
      <c r="R52" s="15">
        <v>27.53</v>
      </c>
      <c r="S52" s="6">
        <v>15</v>
      </c>
      <c r="T52" s="96" t="s">
        <v>29</v>
      </c>
      <c r="U52" s="23" t="e" vm="39">
        <v>#VALUE!</v>
      </c>
      <c r="V52" s="53">
        <v>26</v>
      </c>
      <c r="W52" s="79"/>
      <c r="X52" s="79"/>
    </row>
    <row r="53" spans="1:24" ht="15.6" x14ac:dyDescent="0.35">
      <c r="A53" s="79"/>
      <c r="B53" s="79"/>
      <c r="C53" s="79"/>
      <c r="D53" s="79"/>
      <c r="E53" s="79"/>
      <c r="F53" s="79"/>
      <c r="G53" s="79"/>
      <c r="H53" s="52">
        <f t="shared" ref="H53" ca="1" si="23">(L53-R53)/R53</f>
        <v>-0.11776447105788421</v>
      </c>
      <c r="I53" s="88">
        <f t="shared" ref="I53" ca="1" si="24">(L53*S53*$M$2-P53)</f>
        <v>-702.96879999999965</v>
      </c>
      <c r="J53" s="4" cm="1">
        <f t="array" aca="1" ref="J53" ca="1">_FV(U53,"Change (%)",TRUE)</f>
        <v>5.2381000000000004E-2</v>
      </c>
      <c r="K53" s="21">
        <f t="shared" ref="K53" ca="1" si="25">J53*Q53*$M$2</f>
        <v>221.99912181720001</v>
      </c>
      <c r="L53" s="5" cm="1">
        <f t="array" aca="1" ref="L53" ca="1">_FV(U53,"Price")</f>
        <v>4.42</v>
      </c>
      <c r="M53" s="9">
        <f t="shared" si="21"/>
        <v>1.9058191408634444E-2</v>
      </c>
      <c r="N53" s="6"/>
      <c r="O53" s="6" t="s">
        <v>78</v>
      </c>
      <c r="P53" s="88">
        <v>4941.13</v>
      </c>
      <c r="Q53" s="15">
        <f t="shared" ref="Q53" ca="1" si="26">L53*S53</f>
        <v>1326</v>
      </c>
      <c r="R53" s="107">
        <v>5.01</v>
      </c>
      <c r="S53" s="6">
        <v>300</v>
      </c>
      <c r="T53" s="96" t="s">
        <v>55</v>
      </c>
      <c r="U53" s="23" t="e" vm="40">
        <v>#VALUE!</v>
      </c>
      <c r="V53" s="53">
        <v>27</v>
      </c>
      <c r="W53" s="79"/>
      <c r="X53" s="79"/>
    </row>
    <row r="54" spans="1:24" ht="15.6" x14ac:dyDescent="0.35">
      <c r="A54" s="79"/>
      <c r="B54" s="79"/>
      <c r="C54" s="79"/>
      <c r="D54" s="79"/>
      <c r="E54" s="79"/>
      <c r="F54" s="79"/>
      <c r="G54" s="79"/>
      <c r="H54" s="52">
        <f t="shared" ca="1" si="18"/>
        <v>-0.21317157712305018</v>
      </c>
      <c r="I54" s="88">
        <f t="shared" ca="1" si="19"/>
        <v>-1291.8055999999997</v>
      </c>
      <c r="J54" s="4" cm="1">
        <f t="array" aca="1" ref="J54" ca="1">_FV(U54,"Change (%)",TRUE)</f>
        <v>0.19473700000000002</v>
      </c>
      <c r="K54" s="21">
        <f t="shared" ca="1" si="20"/>
        <v>847.73385998280014</v>
      </c>
      <c r="L54" s="5" cm="1">
        <f t="array" aca="1" ref="L54" ca="1">_FV(U54,"Price")</f>
        <v>9.08</v>
      </c>
      <c r="M54" s="9">
        <f t="shared" si="21"/>
        <v>2.1773169750134824E-2</v>
      </c>
      <c r="N54" s="6"/>
      <c r="O54" s="6" t="s">
        <v>78</v>
      </c>
      <c r="P54" s="88">
        <v>5645.03</v>
      </c>
      <c r="Q54" s="15">
        <f t="shared" ca="1" si="22"/>
        <v>1362</v>
      </c>
      <c r="R54" s="107">
        <v>11.54</v>
      </c>
      <c r="S54" s="6">
        <v>150</v>
      </c>
      <c r="T54" s="96" t="s">
        <v>67</v>
      </c>
      <c r="U54" s="23" t="e" vm="41">
        <v>#VALUE!</v>
      </c>
      <c r="V54" s="53">
        <v>28</v>
      </c>
      <c r="W54" s="79"/>
      <c r="X54" s="79"/>
    </row>
    <row r="55" spans="1:24" ht="15.6" customHeight="1" thickBot="1" x14ac:dyDescent="0.4">
      <c r="A55" s="79"/>
      <c r="B55" s="79"/>
      <c r="C55" s="79"/>
      <c r="D55" s="79"/>
      <c r="E55" s="79"/>
      <c r="F55" s="79"/>
      <c r="G55" s="79"/>
      <c r="H55" s="54">
        <f t="shared" ref="H55" ca="1" si="27">(L55-R55)/R55</f>
        <v>4.2658730158730132E-2</v>
      </c>
      <c r="I55" s="89">
        <f t="shared" ref="I55" ca="1" si="28">(L55*S55*$M$2-P55)</f>
        <v>3359.2062000000001</v>
      </c>
      <c r="J55" s="55" cm="1">
        <f t="array" aca="1" ref="J55" ca="1">_FV(U55,"Change (%)",TRUE)</f>
        <v>5.3106E-2</v>
      </c>
      <c r="K55" s="87">
        <f t="shared" ref="K55" ca="1" si="29">J55*Q55*$M$2</f>
        <v>178.3940044572</v>
      </c>
      <c r="L55" s="65" cm="1">
        <f t="array" aca="1" ref="L55" ca="1">_FV(U55,"Price")</f>
        <v>42.04</v>
      </c>
      <c r="M55" s="66">
        <f t="shared" ref="M55" si="30">P55/$U$5</f>
        <v>0</v>
      </c>
      <c r="N55" s="67"/>
      <c r="O55" s="67" t="s">
        <v>82</v>
      </c>
      <c r="P55" s="89"/>
      <c r="Q55" s="68">
        <f t="shared" ref="Q55" ca="1" si="31">L55*S55</f>
        <v>1051</v>
      </c>
      <c r="R55" s="106">
        <v>40.32</v>
      </c>
      <c r="S55" s="67">
        <v>25</v>
      </c>
      <c r="T55" s="97" t="s">
        <v>61</v>
      </c>
      <c r="U55" s="64" t="e" vm="1">
        <v>#VALUE!</v>
      </c>
      <c r="V55" s="61">
        <v>28</v>
      </c>
      <c r="W55" s="79"/>
      <c r="X55" s="79"/>
    </row>
    <row r="56" spans="1:24" ht="15.6" customHeight="1" x14ac:dyDescent="0.25">
      <c r="A56" s="79"/>
      <c r="B56" s="79"/>
      <c r="C56" s="79"/>
      <c r="D56" s="79"/>
      <c r="E56" s="79"/>
      <c r="F56" s="79"/>
      <c r="G56" s="79"/>
      <c r="H56" s="147"/>
      <c r="I56" s="147"/>
      <c r="J56" s="147"/>
      <c r="K56" s="147"/>
      <c r="L56" s="147"/>
      <c r="M56" s="147"/>
      <c r="N56" s="147"/>
      <c r="O56" s="147"/>
      <c r="P56" s="147"/>
      <c r="Q56" s="147"/>
      <c r="R56" s="147"/>
      <c r="S56" s="147"/>
      <c r="T56" s="147"/>
      <c r="U56" s="147"/>
      <c r="V56" s="147"/>
      <c r="W56" s="79"/>
      <c r="X56" s="79"/>
    </row>
    <row r="57" spans="1:24" ht="14.4" thickBot="1" x14ac:dyDescent="0.3">
      <c r="A57" s="79"/>
      <c r="B57" s="79"/>
      <c r="C57" s="79"/>
      <c r="D57" s="79"/>
      <c r="E57" s="79"/>
      <c r="F57" s="79"/>
      <c r="G57" s="79"/>
      <c r="H57" s="148"/>
      <c r="I57" s="148"/>
      <c r="J57" s="148"/>
      <c r="K57" s="148"/>
      <c r="L57" s="148"/>
      <c r="M57" s="148"/>
      <c r="N57" s="148"/>
      <c r="O57" s="148"/>
      <c r="P57" s="148"/>
      <c r="Q57" s="148"/>
      <c r="R57" s="148"/>
      <c r="S57" s="148"/>
      <c r="T57" s="148"/>
      <c r="U57" s="148"/>
      <c r="V57" s="148"/>
      <c r="W57" s="79"/>
      <c r="X57" s="79"/>
    </row>
    <row r="58" spans="1:24" ht="15.6" x14ac:dyDescent="0.35">
      <c r="A58" s="79"/>
      <c r="B58" s="79"/>
      <c r="C58" s="79"/>
      <c r="D58" s="79"/>
      <c r="E58" s="79"/>
      <c r="F58" s="79"/>
      <c r="G58" s="79"/>
      <c r="H58" s="144" t="s">
        <v>31</v>
      </c>
      <c r="I58" s="145"/>
      <c r="J58" s="145"/>
      <c r="K58" s="145"/>
      <c r="L58" s="145"/>
      <c r="M58" s="145"/>
      <c r="N58" s="145"/>
      <c r="O58" s="145"/>
      <c r="P58" s="145"/>
      <c r="Q58" s="145"/>
      <c r="R58" s="145"/>
      <c r="S58" s="145"/>
      <c r="T58" s="145"/>
      <c r="U58" s="145"/>
      <c r="V58" s="146"/>
      <c r="W58" s="79"/>
      <c r="X58" s="79"/>
    </row>
    <row r="59" spans="1:24" ht="15.6" x14ac:dyDescent="0.35">
      <c r="A59" s="79"/>
      <c r="B59" s="79"/>
      <c r="C59" s="79"/>
      <c r="D59" s="79"/>
      <c r="E59" s="79"/>
      <c r="F59" s="79"/>
      <c r="G59" s="79"/>
      <c r="H59" s="77" t="s">
        <v>65</v>
      </c>
      <c r="I59" s="1" t="s">
        <v>66</v>
      </c>
      <c r="J59" s="1" t="s">
        <v>64</v>
      </c>
      <c r="K59" s="1" t="s">
        <v>7</v>
      </c>
      <c r="L59" s="1" t="s">
        <v>6</v>
      </c>
      <c r="M59" s="1" t="s">
        <v>4</v>
      </c>
      <c r="N59" s="1" t="s">
        <v>49</v>
      </c>
      <c r="O59" s="1" t="s">
        <v>69</v>
      </c>
      <c r="P59" s="1" t="s">
        <v>63</v>
      </c>
      <c r="Q59" s="1" t="s">
        <v>3</v>
      </c>
      <c r="R59" s="1" t="s">
        <v>2</v>
      </c>
      <c r="S59" s="1" t="s">
        <v>1</v>
      </c>
      <c r="T59" s="1" t="s">
        <v>0</v>
      </c>
      <c r="U59" s="1"/>
      <c r="V59" s="53" t="s">
        <v>5</v>
      </c>
      <c r="W59" s="79"/>
      <c r="X59" s="79"/>
    </row>
    <row r="60" spans="1:24" ht="15.6" x14ac:dyDescent="0.35">
      <c r="A60" s="79"/>
      <c r="B60" s="79"/>
      <c r="C60" s="79"/>
      <c r="D60" s="79"/>
      <c r="E60" s="79"/>
      <c r="F60" s="79"/>
      <c r="G60" s="79"/>
      <c r="H60" s="52">
        <f ca="1">(L60-R60)/R60</f>
        <v>-0.10549389567147618</v>
      </c>
      <c r="I60" s="90">
        <f ca="1">(L60*S60*$M$2-P60)</f>
        <v>-490.84356600000001</v>
      </c>
      <c r="J60" s="10" cm="1">
        <f t="array" aca="1" ref="J60" ca="1">_FV(U60,"Change (%)",TRUE)</f>
        <v>1.9910000000000001E-2</v>
      </c>
      <c r="K60" s="21">
        <f ca="1">J60*Q60*$M$2</f>
        <v>30.772625900940003</v>
      </c>
      <c r="L60" s="11" cm="1">
        <f t="array" aca="1" ref="L60" ca="1">_FV(U60,"Price")</f>
        <v>483.57</v>
      </c>
      <c r="M60" s="12">
        <f>P60/$U$5</f>
        <v>7.8546147804824887E-3</v>
      </c>
      <c r="N60" s="13"/>
      <c r="O60" s="13" t="s">
        <v>79</v>
      </c>
      <c r="P60" s="90">
        <v>2036.43</v>
      </c>
      <c r="Q60" s="16">
        <f ca="1">L60*S60</f>
        <v>483.57</v>
      </c>
      <c r="R60" s="16">
        <v>540.6</v>
      </c>
      <c r="S60" s="13">
        <v>1</v>
      </c>
      <c r="T60" s="98" t="s">
        <v>32</v>
      </c>
      <c r="U60" s="23" t="e" vm="42">
        <v>#VALUE!</v>
      </c>
      <c r="V60" s="51">
        <v>29</v>
      </c>
      <c r="W60" s="79"/>
      <c r="X60" s="79"/>
    </row>
    <row r="61" spans="1:24" ht="15.6" x14ac:dyDescent="0.35">
      <c r="A61" s="79"/>
      <c r="B61" s="79"/>
      <c r="C61" s="79"/>
      <c r="D61" s="79"/>
      <c r="E61" s="79"/>
      <c r="F61" s="79"/>
      <c r="G61" s="79"/>
      <c r="H61" s="52">
        <f t="shared" ref="H61:H62" ca="1" si="32">(L61-R61)/R61</f>
        <v>-4.9225473321858851E-2</v>
      </c>
      <c r="I61" s="90">
        <f t="shared" ref="I61:I62" ca="1" si="33">(L61*S61*$M$2-P61)</f>
        <v>-1166.9373599999999</v>
      </c>
      <c r="J61" s="10" cm="1">
        <f t="array" aca="1" ref="J61" ca="1">_FV(U61,"Change (%)",TRUE)</f>
        <v>5.8269999999999997E-3</v>
      </c>
      <c r="K61" s="21">
        <f ca="1">J61*Q61*$M$2</f>
        <v>30.86411936328</v>
      </c>
      <c r="L61" s="11" cm="1">
        <f t="array" aca="1" ref="L61" ca="1">_FV(U61,"Price")</f>
        <v>27.62</v>
      </c>
      <c r="M61" s="12">
        <f t="shared" ref="M61:M62" si="34">P61/$U$5</f>
        <v>2.4930744717131966E-2</v>
      </c>
      <c r="N61" s="13"/>
      <c r="O61" s="13" t="s">
        <v>80</v>
      </c>
      <c r="P61" s="90">
        <v>6463.68</v>
      </c>
      <c r="Q61" s="16">
        <f t="shared" ref="Q61:Q62" ca="1" si="35">L61*S61</f>
        <v>1657.2</v>
      </c>
      <c r="R61" s="16">
        <v>29.05</v>
      </c>
      <c r="S61" s="13">
        <v>60</v>
      </c>
      <c r="T61" s="98" t="s">
        <v>33</v>
      </c>
      <c r="U61" s="23" t="e" vm="43">
        <v>#VALUE!</v>
      </c>
      <c r="V61" s="53">
        <v>30</v>
      </c>
      <c r="W61" s="79"/>
      <c r="X61" s="79"/>
    </row>
    <row r="62" spans="1:24" ht="16.2" thickBot="1" x14ac:dyDescent="0.4">
      <c r="A62" s="79"/>
      <c r="B62" s="79"/>
      <c r="C62" s="79"/>
      <c r="D62" s="79"/>
      <c r="E62" s="79"/>
      <c r="F62" s="79"/>
      <c r="G62" s="79"/>
      <c r="H62" s="54">
        <f t="shared" ca="1" si="32"/>
        <v>0.11812690153886865</v>
      </c>
      <c r="I62" s="91">
        <f t="shared" ca="1" si="33"/>
        <v>-98.98520799999983</v>
      </c>
      <c r="J62" s="69" cm="1">
        <f t="array" aca="1" ref="J62" ca="1">_FV(U62,"Change (%)",TRUE)</f>
        <v>1.1125000000000001E-2</v>
      </c>
      <c r="K62" s="87">
        <f t="shared" ref="K62" ca="1" si="36">J62*Q62*$M$2</f>
        <v>18.033455811000003</v>
      </c>
      <c r="L62" s="70" cm="1">
        <f t="array" aca="1" ref="L62" ca="1">_FV(U62,"Price")</f>
        <v>253.58</v>
      </c>
      <c r="M62" s="71">
        <f t="shared" si="34"/>
        <v>6.6340123569120796E-3</v>
      </c>
      <c r="N62" s="72"/>
      <c r="O62" s="72" t="s">
        <v>59</v>
      </c>
      <c r="P62" s="91">
        <v>1719.97</v>
      </c>
      <c r="Q62" s="73">
        <f t="shared" ca="1" si="35"/>
        <v>507.16</v>
      </c>
      <c r="R62" s="73">
        <v>226.79</v>
      </c>
      <c r="S62" s="72">
        <v>2</v>
      </c>
      <c r="T62" s="99" t="s">
        <v>34</v>
      </c>
      <c r="U62" s="64" t="e" vm="44">
        <v>#VALUE!</v>
      </c>
      <c r="V62" s="61">
        <v>31</v>
      </c>
      <c r="W62" s="79"/>
      <c r="X62" s="79"/>
    </row>
    <row r="64" spans="1:24" x14ac:dyDescent="0.25">
      <c r="J64" s="92"/>
    </row>
    <row r="66" spans="16:16" x14ac:dyDescent="0.25">
      <c r="P66" s="93"/>
    </row>
  </sheetData>
  <mergeCells count="23">
    <mergeCell ref="H58:V58"/>
    <mergeCell ref="H47:V47"/>
    <mergeCell ref="H33:V33"/>
    <mergeCell ref="H22:V22"/>
    <mergeCell ref="H31:V32"/>
    <mergeCell ref="H45:V46"/>
    <mergeCell ref="H56:V57"/>
    <mergeCell ref="L1:M1"/>
    <mergeCell ref="U6:V6"/>
    <mergeCell ref="H20:V21"/>
    <mergeCell ref="H13:V14"/>
    <mergeCell ref="H15:V15"/>
    <mergeCell ref="H8:V8"/>
    <mergeCell ref="T1:V1"/>
    <mergeCell ref="U2:V2"/>
    <mergeCell ref="U5:V5"/>
    <mergeCell ref="U4:V4"/>
    <mergeCell ref="Q1:R1"/>
    <mergeCell ref="L4:M4"/>
    <mergeCell ref="L5:M6"/>
    <mergeCell ref="S5:S6"/>
    <mergeCell ref="J5:K6"/>
    <mergeCell ref="J4:K4"/>
  </mergeCells>
  <conditionalFormatting sqref="B4:B16">
    <cfRule type="cellIs" dxfId="7" priority="3" operator="equal">
      <formula>"BUY"</formula>
    </cfRule>
    <cfRule type="cellIs" dxfId="6" priority="4" operator="equal">
      <formula>"HOLD"</formula>
    </cfRule>
  </conditionalFormatting>
  <conditionalFormatting sqref="H10:K12 H17:K19 H24:K30 H35:K44 H60:K62">
    <cfRule type="cellIs" dxfId="5" priority="15" operator="lessThan">
      <formula>0</formula>
    </cfRule>
    <cfRule type="cellIs" dxfId="4" priority="16" operator="greaterThan">
      <formula>0</formula>
    </cfRule>
  </conditionalFormatting>
  <conditionalFormatting sqref="H49:K55">
    <cfRule type="cellIs" dxfId="3" priority="1" operator="lessThan">
      <formula>0</formula>
    </cfRule>
    <cfRule type="cellIs" dxfId="2" priority="2" operator="greaterThan">
      <formula>0</formula>
    </cfRule>
  </conditionalFormatting>
  <conditionalFormatting sqref="S5:T5 T6 S7:T7">
    <cfRule type="cellIs" dxfId="1" priority="5" operator="lessThan">
      <formula>0</formula>
    </cfRule>
    <cfRule type="cellIs" dxfId="0" priority="6" operator="greaterThan">
      <formula>0</formula>
    </cfRule>
  </conditionalFormatting>
  <dataValidations count="1">
    <dataValidation type="list" allowBlank="1" showInputMessage="1" showErrorMessage="1" sqref="O10:O12 O17:O19 O24:O30 O35:O44 O49:O55 O60:O62" xr:uid="{391B6171-5935-44BC-B1CE-0C32ACF55622}">
      <formula1>"נשק,שבבים,פיננסים,קריפטו,מדדים,תרופות,בריאות,טכנולוגיה,טכנולוגיות קוונטיות,דיבידנדים,קמעונאות,שירותי תקשורת,חומרה,תשתיות מידע,תחבורה"</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Lior Hadad</dc:creator>
  <cp:lastModifiedBy>Lior Tsafrir</cp:lastModifiedBy>
  <dcterms:created xsi:type="dcterms:W3CDTF">2025-08-01T19:22:09Z</dcterms:created>
  <dcterms:modified xsi:type="dcterms:W3CDTF">2025-12-23T13:19:29Z</dcterms:modified>
</cp:coreProperties>
</file>