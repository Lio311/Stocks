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https://mailtauacil-my.sharepoint.com/personal/liortsafrir_mail_tau_ac_il/Documents/Desktop/"/>
    </mc:Choice>
  </mc:AlternateContent>
  <xr:revisionPtr revIDLastSave="1087" documentId="13_ncr:1_{9F5F5684-FACD-45AB-A89B-D14F63A74975}" xr6:coauthVersionLast="47" xr6:coauthVersionMax="47" xr10:uidLastSave="{A4DD3C80-71DD-4CDE-9A4F-01A8A3BE7893}"/>
  <bookViews>
    <workbookView xWindow="-108" yWindow="-108" windowWidth="23256" windowHeight="12456" xr2:uid="{4BA4607F-9C70-44F5-8607-E92B471B476B}"/>
  </bookViews>
  <sheets>
    <sheet name="גיליון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44" i="1" l="1" a="1"/>
  <c r="L44" i="1" s="1"/>
  <c r="J44" i="1" a="1"/>
  <c r="J44" i="1" s="1"/>
  <c r="Q5" i="1"/>
  <c r="R11" i="1"/>
  <c r="L56" i="1" a="1"/>
  <c r="L56" i="1" s="1"/>
  <c r="J56" i="1" a="1"/>
  <c r="J56" i="1" s="1"/>
  <c r="U5" i="1"/>
  <c r="M36" i="1" s="1"/>
  <c r="L54" i="1" a="1"/>
  <c r="L54" i="1" s="1"/>
  <c r="J54" i="1" a="1"/>
  <c r="J54" i="1" s="1"/>
  <c r="J62" i="1" a="1"/>
  <c r="J62" i="1" s="1"/>
  <c r="L42" i="1" a="1"/>
  <c r="L42" i="1" s="1"/>
  <c r="J42" i="1" a="1"/>
  <c r="J42" i="1" s="1"/>
  <c r="J37" i="1" a="1"/>
  <c r="J37" i="1" s="1"/>
  <c r="L11" i="1" a="1"/>
  <c r="L11" i="1" s="1"/>
  <c r="R10" i="1"/>
  <c r="D4" i="1" a="1"/>
  <c r="D4" i="1" s="1"/>
  <c r="D5" i="1" a="1"/>
  <c r="D5" i="1" s="1"/>
  <c r="E4" i="1" a="1"/>
  <c r="E4" i="1" s="1"/>
  <c r="B4" i="1" s="1"/>
  <c r="E5" i="1" a="1"/>
  <c r="E5" i="1" s="1"/>
  <c r="B5" i="1" s="1"/>
  <c r="D14" i="1" a="1"/>
  <c r="D14" i="1" s="1"/>
  <c r="E14" i="1" a="1"/>
  <c r="E14" i="1" s="1"/>
  <c r="B14" i="1" s="1"/>
  <c r="L38" i="1" a="1"/>
  <c r="L38" i="1" s="1"/>
  <c r="L37" i="1" a="1"/>
  <c r="L37" i="1" s="1"/>
  <c r="Q37" i="1" s="1"/>
  <c r="L36" i="1" a="1"/>
  <c r="L36" i="1" s="1"/>
  <c r="L35" i="1" a="1"/>
  <c r="L35" i="1" s="1"/>
  <c r="L30" i="1" a="1"/>
  <c r="L30" i="1" s="1"/>
  <c r="L29" i="1" a="1"/>
  <c r="L29" i="1" s="1"/>
  <c r="L28" i="1" a="1"/>
  <c r="L28" i="1" s="1"/>
  <c r="L27" i="1" a="1"/>
  <c r="L27" i="1" s="1"/>
  <c r="L26" i="1" a="1"/>
  <c r="L26" i="1" s="1"/>
  <c r="L25" i="1" a="1"/>
  <c r="L25" i="1" s="1"/>
  <c r="L24" i="1" a="1"/>
  <c r="L24" i="1" s="1"/>
  <c r="L19" i="1" a="1"/>
  <c r="L19" i="1" s="1"/>
  <c r="L18" i="1" a="1"/>
  <c r="L18" i="1" s="1"/>
  <c r="L17" i="1" a="1"/>
  <c r="L17" i="1" s="1"/>
  <c r="L12" i="1" a="1"/>
  <c r="L12" i="1" s="1"/>
  <c r="L39" i="1" a="1"/>
  <c r="L39" i="1" s="1"/>
  <c r="L40" i="1" a="1"/>
  <c r="L40" i="1" s="1"/>
  <c r="L41" i="1" a="1"/>
  <c r="L41" i="1" s="1"/>
  <c r="L43" i="1" a="1"/>
  <c r="L43" i="1" s="1"/>
  <c r="L45" i="1" a="1"/>
  <c r="L45" i="1" s="1"/>
  <c r="L55" i="1" a="1"/>
  <c r="L55" i="1" s="1"/>
  <c r="J55" i="1" a="1"/>
  <c r="J55" i="1" s="1"/>
  <c r="J45" i="1" a="1"/>
  <c r="J45" i="1" s="1"/>
  <c r="J43" i="1" a="1"/>
  <c r="J43" i="1" s="1"/>
  <c r="J19" i="1" a="1"/>
  <c r="J19" i="1" s="1"/>
  <c r="D6" i="1" a="1"/>
  <c r="D6" i="1" s="1"/>
  <c r="E6" i="1" a="1"/>
  <c r="E6" i="1" s="1"/>
  <c r="B6" i="1" s="1"/>
  <c r="J38" i="1" a="1"/>
  <c r="J38" i="1" s="1"/>
  <c r="J40" i="1" a="1"/>
  <c r="J40" i="1" s="1"/>
  <c r="J41" i="1" a="1"/>
  <c r="J41" i="1" s="1"/>
  <c r="L63" i="1" a="1"/>
  <c r="L63" i="1" s="1"/>
  <c r="D16" i="1" a="1"/>
  <c r="D16" i="1" s="1"/>
  <c r="E16" i="1" a="1"/>
  <c r="E16" i="1" s="1"/>
  <c r="B16" i="1" s="1"/>
  <c r="D15" i="1" a="1"/>
  <c r="D15" i="1" s="1"/>
  <c r="E15" i="1" a="1"/>
  <c r="E15" i="1" s="1"/>
  <c r="B15" i="1" s="1"/>
  <c r="D7" i="1" a="1"/>
  <c r="D7" i="1" s="1"/>
  <c r="E7" i="1" a="1"/>
  <c r="E7" i="1" s="1"/>
  <c r="B7" i="1" s="1"/>
  <c r="D11" i="1" a="1"/>
  <c r="D11" i="1" s="1"/>
  <c r="E11" i="1" a="1"/>
  <c r="E11" i="1" s="1"/>
  <c r="B11" i="1" s="1"/>
  <c r="D12" i="1" a="1"/>
  <c r="D12" i="1" s="1"/>
  <c r="E12" i="1" a="1"/>
  <c r="E12" i="1" s="1"/>
  <c r="B12" i="1" s="1"/>
  <c r="D13" i="1" a="1"/>
  <c r="D13" i="1" s="1"/>
  <c r="E13" i="1" a="1"/>
  <c r="E13" i="1" s="1"/>
  <c r="B13" i="1" s="1"/>
  <c r="D10" i="1" a="1"/>
  <c r="D10" i="1" s="1"/>
  <c r="E10" i="1" a="1"/>
  <c r="E10" i="1" s="1"/>
  <c r="B10" i="1" s="1"/>
  <c r="J11" i="1" a="1"/>
  <c r="J11" i="1" s="1"/>
  <c r="J10" i="1" a="1"/>
  <c r="J10" i="1" s="1"/>
  <c r="L2" i="1" a="1"/>
  <c r="L2" i="1" s="1"/>
  <c r="M2" i="1" a="1"/>
  <c r="M2" i="1" s="1"/>
  <c r="Q2" i="1" a="1"/>
  <c r="Q2" i="1" s="1"/>
  <c r="R2" i="1" a="1"/>
  <c r="R2" i="1" s="1"/>
  <c r="E9" i="1" a="1"/>
  <c r="E9" i="1" s="1"/>
  <c r="B9" i="1" s="1"/>
  <c r="D9" i="1" a="1"/>
  <c r="D9" i="1" s="1"/>
  <c r="E8" i="1" a="1"/>
  <c r="E8" i="1" s="1"/>
  <c r="B8" i="1" s="1"/>
  <c r="D8" i="1" a="1"/>
  <c r="D8" i="1" s="1"/>
  <c r="J63" i="1" a="1"/>
  <c r="J63" i="1" s="1"/>
  <c r="J51" i="1" a="1"/>
  <c r="J51" i="1" s="1"/>
  <c r="L51" i="1" a="1"/>
  <c r="L51" i="1" s="1"/>
  <c r="J52" i="1" a="1"/>
  <c r="J52" i="1" s="1"/>
  <c r="L52" i="1" a="1"/>
  <c r="L52" i="1" s="1"/>
  <c r="J53" i="1" a="1"/>
  <c r="J53" i="1" s="1"/>
  <c r="L53" i="1" a="1"/>
  <c r="L53" i="1" s="1"/>
  <c r="J61" i="1" a="1"/>
  <c r="J61" i="1" s="1"/>
  <c r="L61" i="1" a="1"/>
  <c r="L61" i="1" s="1"/>
  <c r="L62" i="1" a="1"/>
  <c r="L62" i="1" s="1"/>
  <c r="J50" i="1" a="1"/>
  <c r="J50" i="1" s="1"/>
  <c r="L50" i="1" a="1"/>
  <c r="L50" i="1" s="1"/>
  <c r="J35" i="1" a="1"/>
  <c r="J35" i="1" s="1"/>
  <c r="J18" i="1" a="1"/>
  <c r="J18" i="1" s="1"/>
  <c r="J17" i="1" a="1"/>
  <c r="J17" i="1" s="1"/>
  <c r="J12" i="1" a="1"/>
  <c r="J12" i="1" s="1"/>
  <c r="J28" i="1" a="1"/>
  <c r="J28" i="1" s="1"/>
  <c r="J30" i="1" a="1"/>
  <c r="J30" i="1" s="1"/>
  <c r="J26" i="1" a="1"/>
  <c r="J26" i="1" s="1"/>
  <c r="J27" i="1" a="1"/>
  <c r="J27" i="1" s="1"/>
  <c r="J29" i="1" a="1"/>
  <c r="J29" i="1" s="1"/>
  <c r="J36" i="1" a="1"/>
  <c r="J36" i="1" s="1"/>
  <c r="J39" i="1" a="1"/>
  <c r="J39" i="1" s="1"/>
  <c r="J25" i="1" a="1"/>
  <c r="J25" i="1" s="1"/>
  <c r="J24" i="1" a="1"/>
  <c r="J24" i="1" s="1"/>
  <c r="M62" i="1" l="1"/>
  <c r="C25" i="1" s="1"/>
  <c r="M44" i="1"/>
  <c r="M28" i="1"/>
  <c r="M39" i="1"/>
  <c r="C32" i="1" s="1"/>
  <c r="M41" i="1"/>
  <c r="M52" i="1"/>
  <c r="M30" i="1"/>
  <c r="M43" i="1"/>
  <c r="M10" i="1"/>
  <c r="M24" i="1"/>
  <c r="M50" i="1"/>
  <c r="C33" i="1" s="1"/>
  <c r="M61" i="1"/>
  <c r="C35" i="1" s="1"/>
  <c r="M12" i="1"/>
  <c r="M55" i="1"/>
  <c r="M25" i="1"/>
  <c r="M19" i="1"/>
  <c r="M29" i="1"/>
  <c r="M38" i="1"/>
  <c r="M27" i="1"/>
  <c r="R5" i="1"/>
  <c r="R6" i="1" s="1"/>
  <c r="M63" i="1"/>
  <c r="M51" i="1"/>
  <c r="M53" i="1"/>
  <c r="C34" i="1" s="1"/>
  <c r="M18" i="1"/>
  <c r="M17" i="1"/>
  <c r="M11" i="1"/>
  <c r="Q44" i="1"/>
  <c r="K44" i="1" s="1"/>
  <c r="H44" i="1"/>
  <c r="I44" i="1"/>
  <c r="C24" i="1"/>
  <c r="M35" i="1"/>
  <c r="M37" i="1"/>
  <c r="M56" i="1"/>
  <c r="M45" i="1"/>
  <c r="C28" i="1" s="1"/>
  <c r="M26" i="1"/>
  <c r="C31" i="1" s="1"/>
  <c r="M40" i="1"/>
  <c r="C27" i="1" s="1"/>
  <c r="M42" i="1"/>
  <c r="M54" i="1"/>
  <c r="C29" i="1" s="1"/>
  <c r="Q43" i="1"/>
  <c r="K43" i="1" s="1"/>
  <c r="H43" i="1"/>
  <c r="I50" i="1"/>
  <c r="Q50" i="1"/>
  <c r="K50" i="1" s="1"/>
  <c r="H50" i="1"/>
  <c r="H27" i="1"/>
  <c r="Q27" i="1"/>
  <c r="K27" i="1" s="1"/>
  <c r="Q12" i="1"/>
  <c r="K12" i="1" s="1"/>
  <c r="H12" i="1"/>
  <c r="Q24" i="1"/>
  <c r="K24" i="1" s="1"/>
  <c r="H24" i="1"/>
  <c r="Q63" i="1"/>
  <c r="H63" i="1"/>
  <c r="H39" i="1"/>
  <c r="Q39" i="1"/>
  <c r="K39" i="1" s="1"/>
  <c r="H28" i="1"/>
  <c r="Q28" i="1"/>
  <c r="K28" i="1" s="1"/>
  <c r="I45" i="1"/>
  <c r="H45" i="1"/>
  <c r="Q19" i="1"/>
  <c r="K19" i="1" s="1"/>
  <c r="H19" i="1"/>
  <c r="K63" i="1"/>
  <c r="H37" i="1"/>
  <c r="I25" i="1"/>
  <c r="Q25" i="1"/>
  <c r="K25" i="1" s="1"/>
  <c r="H25" i="1"/>
  <c r="I35" i="1"/>
  <c r="Q35" i="1"/>
  <c r="H35" i="1"/>
  <c r="H36" i="1"/>
  <c r="I36" i="1"/>
  <c r="Q36" i="1"/>
  <c r="K36" i="1" s="1"/>
  <c r="I17" i="1"/>
  <c r="Q17" i="1"/>
  <c r="K17" i="1" s="1"/>
  <c r="H17" i="1"/>
  <c r="Q26" i="1"/>
  <c r="H26" i="1"/>
  <c r="I26" i="1"/>
  <c r="Q52" i="1"/>
  <c r="K52" i="1" s="1"/>
  <c r="H52" i="1"/>
  <c r="I52" i="1"/>
  <c r="I63" i="1"/>
  <c r="I43" i="1"/>
  <c r="I12" i="1"/>
  <c r="L10" i="1" a="1"/>
  <c r="L10" i="1" s="1"/>
  <c r="I24" i="1"/>
  <c r="U6" i="1"/>
  <c r="I19" i="1"/>
  <c r="I27" i="1"/>
  <c r="I28" i="1"/>
  <c r="Q6" i="1"/>
  <c r="Q18" i="1"/>
  <c r="K18" i="1" s="1"/>
  <c r="I18" i="1"/>
  <c r="H18" i="1"/>
  <c r="I41" i="1"/>
  <c r="H41" i="1"/>
  <c r="Q41" i="1"/>
  <c r="K41" i="1" s="1"/>
  <c r="H38" i="1"/>
  <c r="Q38" i="1"/>
  <c r="K38" i="1" s="1"/>
  <c r="I38" i="1"/>
  <c r="Q54" i="1"/>
  <c r="K54" i="1" s="1"/>
  <c r="H54" i="1"/>
  <c r="I54" i="1"/>
  <c r="Q56" i="1"/>
  <c r="K56" i="1" s="1"/>
  <c r="H56" i="1"/>
  <c r="I56" i="1"/>
  <c r="K26" i="1"/>
  <c r="Q40" i="1"/>
  <c r="K40" i="1" s="1"/>
  <c r="H40" i="1"/>
  <c r="I40" i="1"/>
  <c r="H53" i="1"/>
  <c r="I53" i="1"/>
  <c r="Q53" i="1"/>
  <c r="K53" i="1" s="1"/>
  <c r="Q42" i="1"/>
  <c r="K42" i="1" s="1"/>
  <c r="I42" i="1"/>
  <c r="H42" i="1"/>
  <c r="I61" i="1"/>
  <c r="H61" i="1"/>
  <c r="Q61" i="1"/>
  <c r="K61" i="1" s="1"/>
  <c r="H51" i="1"/>
  <c r="I51" i="1"/>
  <c r="Q51" i="1"/>
  <c r="K51" i="1" s="1"/>
  <c r="I39" i="1"/>
  <c r="Q29" i="1"/>
  <c r="K29" i="1" s="1"/>
  <c r="H29" i="1"/>
  <c r="I29" i="1"/>
  <c r="I11" i="1"/>
  <c r="H11" i="1"/>
  <c r="Q11" i="1"/>
  <c r="K11" i="1" s="1"/>
  <c r="H62" i="1"/>
  <c r="Q62" i="1"/>
  <c r="K62" i="1" s="1"/>
  <c r="I62" i="1"/>
  <c r="K35" i="1"/>
  <c r="H55" i="1"/>
  <c r="Q55" i="1"/>
  <c r="K55" i="1" s="1"/>
  <c r="I55" i="1"/>
  <c r="Q30" i="1"/>
  <c r="K30" i="1" s="1"/>
  <c r="H30" i="1"/>
  <c r="I30" i="1"/>
  <c r="K37" i="1"/>
  <c r="I37" i="1"/>
  <c r="Q45" i="1"/>
  <c r="K45" i="1" s="1"/>
  <c r="C21" i="1" l="1"/>
  <c r="C22" i="1"/>
  <c r="C30" i="1"/>
  <c r="C26" i="1"/>
  <c r="C23" i="1"/>
  <c r="Q10" i="1"/>
  <c r="K10" i="1" s="1"/>
  <c r="J5" i="1" s="1"/>
  <c r="I10" i="1"/>
  <c r="T5" i="1" s="1"/>
  <c r="H10" i="1"/>
  <c r="C36" i="1" l="1"/>
  <c r="L5" i="1"/>
  <c r="S5" i="1"/>
  <c r="T6" i="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45">
    <bk>
      <extLst>
        <ext uri="{3e2802c4-a4d2-4d8b-9148-e3be6c30e623}">
          <xlrd:rvb i="2"/>
        </ext>
      </extLst>
    </bk>
    <bk>
      <extLst>
        <ext uri="{3e2802c4-a4d2-4d8b-9148-e3be6c30e623}">
          <xlrd:rvb i="4"/>
        </ext>
      </extLst>
    </bk>
    <bk>
      <extLst>
        <ext uri="{3e2802c4-a4d2-4d8b-9148-e3be6c30e623}">
          <xlrd:rvb i="7"/>
        </ext>
      </extLst>
    </bk>
    <bk>
      <extLst>
        <ext uri="{3e2802c4-a4d2-4d8b-9148-e3be6c30e623}">
          <xlrd:rvb i="10"/>
        </ext>
      </extLst>
    </bk>
    <bk>
      <extLst>
        <ext uri="{3e2802c4-a4d2-4d8b-9148-e3be6c30e623}">
          <xlrd:rvb i="12"/>
        </ext>
      </extLst>
    </bk>
    <bk>
      <extLst>
        <ext uri="{3e2802c4-a4d2-4d8b-9148-e3be6c30e623}">
          <xlrd:rvb i="15"/>
        </ext>
      </extLst>
    </bk>
    <bk>
      <extLst>
        <ext uri="{3e2802c4-a4d2-4d8b-9148-e3be6c30e623}">
          <xlrd:rvb i="18"/>
        </ext>
      </extLst>
    </bk>
    <bk>
      <extLst>
        <ext uri="{3e2802c4-a4d2-4d8b-9148-e3be6c30e623}">
          <xlrd:rvb i="21"/>
        </ext>
      </extLst>
    </bk>
    <bk>
      <extLst>
        <ext uri="{3e2802c4-a4d2-4d8b-9148-e3be6c30e623}">
          <xlrd:rvb i="24"/>
        </ext>
      </extLst>
    </bk>
    <bk>
      <extLst>
        <ext uri="{3e2802c4-a4d2-4d8b-9148-e3be6c30e623}">
          <xlrd:rvb i="27"/>
        </ext>
      </extLst>
    </bk>
    <bk>
      <extLst>
        <ext uri="{3e2802c4-a4d2-4d8b-9148-e3be6c30e623}">
          <xlrd:rvb i="30"/>
        </ext>
      </extLst>
    </bk>
    <bk>
      <extLst>
        <ext uri="{3e2802c4-a4d2-4d8b-9148-e3be6c30e623}">
          <xlrd:rvb i="33"/>
        </ext>
      </extLst>
    </bk>
    <bk>
      <extLst>
        <ext uri="{3e2802c4-a4d2-4d8b-9148-e3be6c30e623}">
          <xlrd:rvb i="36"/>
        </ext>
      </extLst>
    </bk>
    <bk>
      <extLst>
        <ext uri="{3e2802c4-a4d2-4d8b-9148-e3be6c30e623}">
          <xlrd:rvb i="39"/>
        </ext>
      </extLst>
    </bk>
    <bk>
      <extLst>
        <ext uri="{3e2802c4-a4d2-4d8b-9148-e3be6c30e623}">
          <xlrd:rvb i="42"/>
        </ext>
      </extLst>
    </bk>
    <bk>
      <extLst>
        <ext uri="{3e2802c4-a4d2-4d8b-9148-e3be6c30e623}">
          <xlrd:rvb i="45"/>
        </ext>
      </extLst>
    </bk>
    <bk>
      <extLst>
        <ext uri="{3e2802c4-a4d2-4d8b-9148-e3be6c30e623}">
          <xlrd:rvb i="47"/>
        </ext>
      </extLst>
    </bk>
    <bk>
      <extLst>
        <ext uri="{3e2802c4-a4d2-4d8b-9148-e3be6c30e623}">
          <xlrd:rvb i="50"/>
        </ext>
      </extLst>
    </bk>
    <bk>
      <extLst>
        <ext uri="{3e2802c4-a4d2-4d8b-9148-e3be6c30e623}">
          <xlrd:rvb i="52"/>
        </ext>
      </extLst>
    </bk>
    <bk>
      <extLst>
        <ext uri="{3e2802c4-a4d2-4d8b-9148-e3be6c30e623}">
          <xlrd:rvb i="54"/>
        </ext>
      </extLst>
    </bk>
    <bk>
      <extLst>
        <ext uri="{3e2802c4-a4d2-4d8b-9148-e3be6c30e623}">
          <xlrd:rvb i="56"/>
        </ext>
      </extLst>
    </bk>
    <bk>
      <extLst>
        <ext uri="{3e2802c4-a4d2-4d8b-9148-e3be6c30e623}">
          <xlrd:rvb i="59"/>
        </ext>
      </extLst>
    </bk>
    <bk>
      <extLst>
        <ext uri="{3e2802c4-a4d2-4d8b-9148-e3be6c30e623}">
          <xlrd:rvb i="66"/>
        </ext>
      </extLst>
    </bk>
    <bk>
      <extLst>
        <ext uri="{3e2802c4-a4d2-4d8b-9148-e3be6c30e623}">
          <xlrd:rvb i="69"/>
        </ext>
      </extLst>
    </bk>
    <bk>
      <extLst>
        <ext uri="{3e2802c4-a4d2-4d8b-9148-e3be6c30e623}">
          <xlrd:rvb i="72"/>
        </ext>
      </extLst>
    </bk>
    <bk>
      <extLst>
        <ext uri="{3e2802c4-a4d2-4d8b-9148-e3be6c30e623}">
          <xlrd:rvb i="75"/>
        </ext>
      </extLst>
    </bk>
    <bk>
      <extLst>
        <ext uri="{3e2802c4-a4d2-4d8b-9148-e3be6c30e623}">
          <xlrd:rvb i="78"/>
        </ext>
      </extLst>
    </bk>
    <bk>
      <extLst>
        <ext uri="{3e2802c4-a4d2-4d8b-9148-e3be6c30e623}">
          <xlrd:rvb i="80"/>
        </ext>
      </extLst>
    </bk>
    <bk>
      <extLst>
        <ext uri="{3e2802c4-a4d2-4d8b-9148-e3be6c30e623}">
          <xlrd:rvb i="83"/>
        </ext>
      </extLst>
    </bk>
    <bk>
      <extLst>
        <ext uri="{3e2802c4-a4d2-4d8b-9148-e3be6c30e623}">
          <xlrd:rvb i="86"/>
        </ext>
      </extLst>
    </bk>
    <bk>
      <extLst>
        <ext uri="{3e2802c4-a4d2-4d8b-9148-e3be6c30e623}">
          <xlrd:rvb i="89"/>
        </ext>
      </extLst>
    </bk>
    <bk>
      <extLst>
        <ext uri="{3e2802c4-a4d2-4d8b-9148-e3be6c30e623}">
          <xlrd:rvb i="92"/>
        </ext>
      </extLst>
    </bk>
    <bk>
      <extLst>
        <ext uri="{3e2802c4-a4d2-4d8b-9148-e3be6c30e623}">
          <xlrd:rvb i="95"/>
        </ext>
      </extLst>
    </bk>
    <bk>
      <extLst>
        <ext uri="{3e2802c4-a4d2-4d8b-9148-e3be6c30e623}">
          <xlrd:rvb i="98"/>
        </ext>
      </extLst>
    </bk>
    <bk>
      <extLst>
        <ext uri="{3e2802c4-a4d2-4d8b-9148-e3be6c30e623}">
          <xlrd:rvb i="104"/>
        </ext>
      </extLst>
    </bk>
    <bk>
      <extLst>
        <ext uri="{3e2802c4-a4d2-4d8b-9148-e3be6c30e623}">
          <xlrd:rvb i="107"/>
        </ext>
      </extLst>
    </bk>
    <bk>
      <extLst>
        <ext uri="{3e2802c4-a4d2-4d8b-9148-e3be6c30e623}">
          <xlrd:rvb i="110"/>
        </ext>
      </extLst>
    </bk>
    <bk>
      <extLst>
        <ext uri="{3e2802c4-a4d2-4d8b-9148-e3be6c30e623}">
          <xlrd:rvb i="113"/>
        </ext>
      </extLst>
    </bk>
    <bk>
      <extLst>
        <ext uri="{3e2802c4-a4d2-4d8b-9148-e3be6c30e623}">
          <xlrd:rvb i="116"/>
        </ext>
      </extLst>
    </bk>
    <bk>
      <extLst>
        <ext uri="{3e2802c4-a4d2-4d8b-9148-e3be6c30e623}">
          <xlrd:rvb i="119"/>
        </ext>
      </extLst>
    </bk>
    <bk>
      <extLst>
        <ext uri="{3e2802c4-a4d2-4d8b-9148-e3be6c30e623}">
          <xlrd:rvb i="121"/>
        </ext>
      </extLst>
    </bk>
    <bk>
      <extLst>
        <ext uri="{3e2802c4-a4d2-4d8b-9148-e3be6c30e623}">
          <xlrd:rvb i="124"/>
        </ext>
      </extLst>
    </bk>
    <bk>
      <extLst>
        <ext uri="{3e2802c4-a4d2-4d8b-9148-e3be6c30e623}">
          <xlrd:rvb i="127"/>
        </ext>
      </extLst>
    </bk>
    <bk>
      <extLst>
        <ext uri="{3e2802c4-a4d2-4d8b-9148-e3be6c30e623}">
          <xlrd:rvb i="130"/>
        </ext>
      </extLst>
    </bk>
    <bk>
      <extLst>
        <ext uri="{3e2802c4-a4d2-4d8b-9148-e3be6c30e623}">
          <xlrd:rvb i="133"/>
        </ext>
      </extLst>
    </bk>
  </futureMetadata>
  <cellMetadata count="1">
    <bk>
      <rc t="1" v="0"/>
    </bk>
  </cellMetadata>
  <valueMetadata count="45">
    <bk>
      <rc t="2" v="0"/>
    </bk>
    <bk>
      <rc t="2" v="1"/>
    </bk>
    <bk>
      <rc t="2" v="2"/>
    </bk>
    <bk>
      <rc t="2" v="3"/>
    </bk>
    <bk>
      <rc t="2" v="4"/>
    </bk>
    <bk>
      <rc t="2" v="5"/>
    </bk>
    <bk>
      <rc t="2" v="6"/>
    </bk>
    <bk>
      <rc t="2" v="7"/>
    </bk>
    <bk>
      <rc t="2" v="8"/>
    </bk>
    <bk>
      <rc t="2" v="9"/>
    </bk>
    <bk>
      <rc t="2" v="10"/>
    </bk>
    <bk>
      <rc t="2" v="11"/>
    </bk>
    <bk>
      <rc t="2" v="12"/>
    </bk>
    <bk>
      <rc t="2" v="13"/>
    </bk>
    <bk>
      <rc t="2" v="14"/>
    </bk>
    <bk>
      <rc t="2" v="15"/>
    </bk>
    <bk>
      <rc t="2" v="16"/>
    </bk>
    <bk>
      <rc t="2" v="17"/>
    </bk>
    <bk>
      <rc t="2" v="18"/>
    </bk>
    <bk>
      <rc t="2" v="19"/>
    </bk>
    <bk>
      <rc t="2" v="20"/>
    </bk>
    <bk>
      <rc t="2" v="21"/>
    </bk>
    <bk>
      <rc t="2" v="22"/>
    </bk>
    <bk>
      <rc t="2" v="23"/>
    </bk>
    <bk>
      <rc t="2" v="24"/>
    </bk>
    <bk>
      <rc t="2" v="25"/>
    </bk>
    <bk>
      <rc t="2" v="26"/>
    </bk>
    <bk>
      <rc t="2" v="27"/>
    </bk>
    <bk>
      <rc t="2" v="28"/>
    </bk>
    <bk>
      <rc t="2" v="29"/>
    </bk>
    <bk>
      <rc t="2" v="30"/>
    </bk>
    <bk>
      <rc t="2" v="31"/>
    </bk>
    <bk>
      <rc t="2" v="32"/>
    </bk>
    <bk>
      <rc t="2" v="33"/>
    </bk>
    <bk>
      <rc t="2" v="34"/>
    </bk>
    <bk>
      <rc t="2" v="35"/>
    </bk>
    <bk>
      <rc t="2" v="36"/>
    </bk>
    <bk>
      <rc t="2" v="37"/>
    </bk>
    <bk>
      <rc t="2" v="38"/>
    </bk>
    <bk>
      <rc t="2" v="39"/>
    </bk>
    <bk>
      <rc t="2" v="40"/>
    </bk>
    <bk>
      <rc t="2" v="41"/>
    </bk>
    <bk>
      <rc t="2" v="42"/>
    </bk>
    <bk>
      <rc t="2" v="43"/>
    </bk>
    <bk>
      <rc t="2" v="44"/>
    </bk>
  </valueMetadata>
</metadata>
</file>

<file path=xl/sharedStrings.xml><?xml version="1.0" encoding="utf-8"?>
<sst xmlns="http://schemas.openxmlformats.org/spreadsheetml/2006/main" count="203" uniqueCount="87">
  <si>
    <t>טיקר</t>
  </si>
  <si>
    <t>כמות מניות</t>
  </si>
  <si>
    <t>מחיר עלות</t>
  </si>
  <si>
    <t>סה"כ אחזקה</t>
  </si>
  <si>
    <t>אחוז מסה"כ התיק</t>
  </si>
  <si>
    <t>#</t>
  </si>
  <si>
    <t>מחיר זמן אמת</t>
  </si>
  <si>
    <t>שינוי יומי</t>
  </si>
  <si>
    <t>MSFT</t>
  </si>
  <si>
    <t>AMZN</t>
  </si>
  <si>
    <t>TSLA</t>
  </si>
  <si>
    <t>NVDA</t>
  </si>
  <si>
    <t>GOOGL</t>
  </si>
  <si>
    <t>META</t>
  </si>
  <si>
    <t>SOFI</t>
  </si>
  <si>
    <t>SHOP</t>
  </si>
  <si>
    <t>ASML</t>
  </si>
  <si>
    <t>UBER</t>
  </si>
  <si>
    <t>AMD</t>
  </si>
  <si>
    <t>TSM</t>
  </si>
  <si>
    <t>QQQ</t>
  </si>
  <si>
    <t>ETHA</t>
  </si>
  <si>
    <t>IBIT</t>
  </si>
  <si>
    <t>NVDL</t>
  </si>
  <si>
    <t>DELL</t>
  </si>
  <si>
    <t>MNDY</t>
  </si>
  <si>
    <t>UNH</t>
  </si>
  <si>
    <t>PATH</t>
  </si>
  <si>
    <t>MRNA</t>
  </si>
  <si>
    <t>PFE</t>
  </si>
  <si>
    <t>הימורים</t>
  </si>
  <si>
    <t>לא מרוצה</t>
  </si>
  <si>
    <t>LMT</t>
  </si>
  <si>
    <t>SCHD</t>
  </si>
  <si>
    <t>IWM</t>
  </si>
  <si>
    <t>PYPL</t>
  </si>
  <si>
    <t>HOOD</t>
  </si>
  <si>
    <t>מדד הפחד</t>
  </si>
  <si>
    <t>שער הדולר</t>
  </si>
  <si>
    <t>תיק מסחר - ליאור</t>
  </si>
  <si>
    <t>השקעה</t>
  </si>
  <si>
    <t>מזומן בתיק</t>
  </si>
  <si>
    <t>כסף מושקע</t>
  </si>
  <si>
    <t>רווח נוכחי</t>
  </si>
  <si>
    <t>ABNB</t>
  </si>
  <si>
    <t>PLTR</t>
  </si>
  <si>
    <t>CRM</t>
  </si>
  <si>
    <t>מחיר יעד</t>
  </si>
  <si>
    <t>תשואה באחוזים</t>
  </si>
  <si>
    <t>B/H/S</t>
  </si>
  <si>
    <t>B/H</t>
  </si>
  <si>
    <t>GLXY</t>
  </si>
  <si>
    <t>SOLZ</t>
  </si>
  <si>
    <t>CRWV</t>
  </si>
  <si>
    <t>PGY</t>
  </si>
  <si>
    <t>LAES</t>
  </si>
  <si>
    <t>חברות גדולות</t>
  </si>
  <si>
    <t>שבע הגדולות</t>
  </si>
  <si>
    <t>קריפטו</t>
  </si>
  <si>
    <t>מדדים</t>
  </si>
  <si>
    <t>סה"כ ערך תיק</t>
  </si>
  <si>
    <t>IREN</t>
  </si>
  <si>
    <t>NBIS</t>
  </si>
  <si>
    <t>עלות FIFO</t>
  </si>
  <si>
    <t>שינוי יומי(%)</t>
  </si>
  <si>
    <t>שינוי מצטבר(%)</t>
  </si>
  <si>
    <t>שינוי מצטבר</t>
  </si>
  <si>
    <t>WKEY</t>
  </si>
  <si>
    <t>הפרש מימושים</t>
  </si>
  <si>
    <t>סקטור</t>
  </si>
  <si>
    <t>קמעונאות</t>
  </si>
  <si>
    <t>טכנולוגיה</t>
  </si>
  <si>
    <t>שירותי תקשורת</t>
  </si>
  <si>
    <t>פיננסים</t>
  </si>
  <si>
    <t>שבבים</t>
  </si>
  <si>
    <t>חומרה</t>
  </si>
  <si>
    <t>בריאות</t>
  </si>
  <si>
    <t>תרופות</t>
  </si>
  <si>
    <t>טכנולוגיות קוונטיות</t>
  </si>
  <si>
    <t>נשק</t>
  </si>
  <si>
    <t>דיבידנדים</t>
  </si>
  <si>
    <t>תחבורה</t>
  </si>
  <si>
    <t>תשתיות מידע</t>
  </si>
  <si>
    <t>אחוז מהתיק</t>
  </si>
  <si>
    <t>סה"כ</t>
  </si>
  <si>
    <t>AAPL</t>
  </si>
  <si>
    <t>IBM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</si>
</sst>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8" formatCode="&quot;$&quot;#,##0.00_);[Red]\(&quot;$&quot;#,##0.00\)"/>
    <numFmt numFmtId="43" formatCode="_(* #,##0.00_);_(* \(#,##0.00\);_(* &quot;-&quot;??_);_(@_)"/>
    <numFmt numFmtId="164" formatCode="_ &quot;₪&quot;\ * #,##0_ ;_ &quot;₪&quot;\ * \-#,##0_ ;_ &quot;₪&quot;\ * &quot;-&quot;_ ;_ @_ "/>
    <numFmt numFmtId="165" formatCode="_ &quot;₪&quot;\ * #,##0.00_ ;_ &quot;₪&quot;\ * \-#,##0.00_ ;_ &quot;₪&quot;\ * &quot;-&quot;??_ ;_ @_ "/>
    <numFmt numFmtId="166" formatCode="_([$$-409]* #,##0.00_);_([$$-409]* \(#,##0.00\);_([$$-409]* &quot;-&quot;??_);_(@_)"/>
    <numFmt numFmtId="167" formatCode="[$$-409]#,##0.00"/>
    <numFmt numFmtId="168" formatCode="&quot;₪&quot;\ #,##0.00"/>
    <numFmt numFmtId="169" formatCode="_-* #,##0.00\ [$CHF-100C]_-;\-* #,##0.00\ [$CHF-100C]_-;_-* &quot;-&quot;??\ [$CHF-100C]_-;_-@_-"/>
    <numFmt numFmtId="170" formatCode="_ [$₪-40D]\ * #,##0.00_ ;_ [$₪-40D]\ * \-#,##0.00_ ;_ [$₪-40D]\ * &quot;-&quot;??_ ;_ @_ "/>
    <numFmt numFmtId="171" formatCode="_-[$$-1009]* #,##0.00_-;\-[$$-1009]* #,##0.00_-;_-[$$-1009]* &quot;-&quot;??_-;_-@_-"/>
  </numFmts>
  <fonts count="8" x14ac:knownFonts="1">
    <font>
      <sz val="11"/>
      <color theme="1"/>
      <name val="Aptos Narrow"/>
      <family val="2"/>
      <charset val="177"/>
      <scheme val="minor"/>
    </font>
    <font>
      <sz val="11"/>
      <color theme="1"/>
      <name val="Open Sans Hebrew"/>
    </font>
    <font>
      <sz val="11"/>
      <color theme="0"/>
      <name val="Open Sans Hebrew"/>
    </font>
    <font>
      <b/>
      <sz val="11"/>
      <color theme="0"/>
      <name val="Open Sans Hebrew"/>
    </font>
    <font>
      <b/>
      <sz val="11"/>
      <color theme="1"/>
      <name val="Open Sans Hebrew"/>
    </font>
    <font>
      <b/>
      <sz val="18"/>
      <color theme="1"/>
      <name val="Open Sans Hebrew"/>
    </font>
    <font>
      <sz val="11"/>
      <name val="Open Sans Hebrew"/>
    </font>
    <font>
      <b/>
      <sz val="10"/>
      <color theme="1"/>
      <name val="Open Sans Hebrew"/>
    </font>
  </fonts>
  <fills count="9">
    <fill>
      <patternFill patternType="none"/>
    </fill>
    <fill>
      <patternFill patternType="gray125"/>
    </fill>
    <fill>
      <patternFill patternType="solid">
        <fgColor theme="1"/>
        <bgColor indexed="64"/>
      </patternFill>
    </fill>
    <fill>
      <patternFill patternType="solid">
        <fgColor rgb="FF92D050"/>
        <bgColor indexed="64"/>
      </patternFill>
    </fill>
    <fill>
      <patternFill patternType="solid">
        <fgColor rgb="FFFFC000"/>
        <bgColor indexed="64"/>
      </patternFill>
    </fill>
    <fill>
      <patternFill patternType="solid">
        <fgColor theme="0"/>
        <bgColor indexed="64"/>
      </patternFill>
    </fill>
    <fill>
      <patternFill patternType="solid">
        <fgColor rgb="FF00B0F0"/>
        <bgColor indexed="64"/>
      </patternFill>
    </fill>
    <fill>
      <patternFill patternType="solid">
        <fgColor theme="5" tint="0.39997558519241921"/>
        <bgColor indexed="64"/>
      </patternFill>
    </fill>
    <fill>
      <patternFill patternType="solid">
        <fgColor theme="8" tint="0.59999389629810485"/>
        <bgColor indexed="64"/>
      </patternFill>
    </fill>
  </fills>
  <borders count="32">
    <border>
      <left/>
      <right/>
      <top/>
      <bottom/>
      <diagonal/>
    </border>
    <border>
      <left style="thin">
        <color indexed="64"/>
      </left>
      <right style="thin">
        <color indexed="64"/>
      </right>
      <top style="thin">
        <color indexed="64"/>
      </top>
      <bottom style="thin">
        <color indexed="64"/>
      </bottom>
      <diagonal/>
    </border>
    <border>
      <left/>
      <right/>
      <top style="medium">
        <color indexed="64"/>
      </top>
      <bottom/>
      <diagonal/>
    </border>
    <border>
      <left/>
      <right style="medium">
        <color indexed="64"/>
      </right>
      <top style="medium">
        <color indexed="64"/>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thin">
        <color indexed="64"/>
      </top>
      <bottom style="medium">
        <color indexed="64"/>
      </bottom>
      <diagonal/>
    </border>
    <border>
      <left style="medium">
        <color indexed="64"/>
      </left>
      <right style="medium">
        <color indexed="64"/>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medium">
        <color indexed="64"/>
      </top>
      <bottom/>
      <diagonal/>
    </border>
    <border>
      <left style="thin">
        <color indexed="64"/>
      </left>
      <right style="thin">
        <color indexed="64"/>
      </right>
      <top/>
      <bottom style="medium">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right/>
      <top/>
      <bottom style="medium">
        <color indexed="64"/>
      </bottom>
      <diagonal/>
    </border>
  </borders>
  <cellStyleXfs count="1">
    <xf numFmtId="0" fontId="0" fillId="0" borderId="0"/>
  </cellStyleXfs>
  <cellXfs count="149">
    <xf numFmtId="0" fontId="0" fillId="0" borderId="0" xfId="0"/>
    <xf numFmtId="0" fontId="2" fillId="2" borderId="1" xfId="0" applyFont="1" applyFill="1" applyBorder="1" applyAlignment="1">
      <alignment horizontal="center"/>
    </xf>
    <xf numFmtId="10" fontId="1" fillId="3" borderId="1" xfId="0" applyNumberFormat="1" applyFont="1" applyFill="1" applyBorder="1" applyAlignment="1">
      <alignment horizontal="center"/>
    </xf>
    <xf numFmtId="0" fontId="1" fillId="3" borderId="1" xfId="0" applyFont="1" applyFill="1" applyBorder="1" applyAlignment="1">
      <alignment horizontal="center"/>
    </xf>
    <xf numFmtId="10" fontId="1" fillId="4" borderId="1" xfId="0" applyNumberFormat="1" applyFont="1" applyFill="1" applyBorder="1" applyAlignment="1">
      <alignment horizontal="center"/>
    </xf>
    <xf numFmtId="166" fontId="1" fillId="4" borderId="1" xfId="0" applyNumberFormat="1" applyFont="1" applyFill="1" applyBorder="1" applyAlignment="1">
      <alignment horizontal="center"/>
    </xf>
    <xf numFmtId="0" fontId="1" fillId="4" borderId="1" xfId="0" applyFont="1" applyFill="1" applyBorder="1" applyAlignment="1">
      <alignment horizontal="center"/>
    </xf>
    <xf numFmtId="10" fontId="1" fillId="6" borderId="1" xfId="0" applyNumberFormat="1" applyFont="1" applyFill="1" applyBorder="1" applyAlignment="1">
      <alignment horizontal="center"/>
    </xf>
    <xf numFmtId="9" fontId="1" fillId="3" borderId="1" xfId="0" applyNumberFormat="1" applyFont="1" applyFill="1" applyBorder="1" applyAlignment="1">
      <alignment horizontal="center"/>
    </xf>
    <xf numFmtId="9" fontId="1" fillId="4" borderId="1" xfId="0" applyNumberFormat="1" applyFont="1" applyFill="1" applyBorder="1" applyAlignment="1">
      <alignment horizontal="center"/>
    </xf>
    <xf numFmtId="10" fontId="1" fillId="7" borderId="1" xfId="0" applyNumberFormat="1" applyFont="1" applyFill="1" applyBorder="1" applyAlignment="1">
      <alignment horizontal="center"/>
    </xf>
    <xf numFmtId="166" fontId="1" fillId="7" borderId="1" xfId="0" applyNumberFormat="1" applyFont="1" applyFill="1" applyBorder="1" applyAlignment="1">
      <alignment horizontal="center"/>
    </xf>
    <xf numFmtId="9" fontId="1" fillId="7" borderId="1" xfId="0" applyNumberFormat="1" applyFont="1" applyFill="1" applyBorder="1" applyAlignment="1">
      <alignment horizontal="center"/>
    </xf>
    <xf numFmtId="0" fontId="1" fillId="7" borderId="1" xfId="0" applyFont="1" applyFill="1" applyBorder="1" applyAlignment="1">
      <alignment horizontal="center"/>
    </xf>
    <xf numFmtId="167" fontId="1" fillId="3" borderId="1" xfId="0" applyNumberFormat="1" applyFont="1" applyFill="1" applyBorder="1" applyAlignment="1">
      <alignment horizontal="center"/>
    </xf>
    <xf numFmtId="167" fontId="1" fillId="4" borderId="1" xfId="0" applyNumberFormat="1" applyFont="1" applyFill="1" applyBorder="1" applyAlignment="1">
      <alignment horizontal="center"/>
    </xf>
    <xf numFmtId="167" fontId="1" fillId="7" borderId="1" xfId="0" applyNumberFormat="1" applyFont="1" applyFill="1" applyBorder="1" applyAlignment="1">
      <alignment horizontal="center"/>
    </xf>
    <xf numFmtId="0" fontId="1" fillId="2" borderId="1" xfId="0" applyFont="1" applyFill="1" applyBorder="1" applyAlignment="1">
      <alignment horizontal="center"/>
    </xf>
    <xf numFmtId="168" fontId="1" fillId="3" borderId="1" xfId="0" applyNumberFormat="1" applyFont="1" applyFill="1" applyBorder="1" applyAlignment="1">
      <alignment horizontal="center"/>
    </xf>
    <xf numFmtId="10" fontId="1" fillId="0" borderId="4" xfId="0" applyNumberFormat="1" applyFont="1" applyBorder="1" applyAlignment="1">
      <alignment horizontal="center"/>
    </xf>
    <xf numFmtId="164" fontId="2" fillId="2" borderId="0" xfId="0" applyNumberFormat="1" applyFont="1" applyFill="1" applyAlignment="1">
      <alignment horizontal="center"/>
    </xf>
    <xf numFmtId="165" fontId="1" fillId="3" borderId="1" xfId="0" applyNumberFormat="1" applyFont="1" applyFill="1" applyBorder="1" applyAlignment="1">
      <alignment horizontal="center"/>
    </xf>
    <xf numFmtId="165" fontId="1" fillId="3" borderId="1" xfId="0" applyNumberFormat="1" applyFont="1" applyFill="1" applyBorder="1"/>
    <xf numFmtId="0" fontId="1" fillId="2" borderId="1" xfId="0" applyFont="1" applyFill="1" applyBorder="1"/>
    <xf numFmtId="4" fontId="1" fillId="2" borderId="1" xfId="0" applyNumberFormat="1" applyFont="1" applyFill="1" applyBorder="1" applyAlignment="1">
      <alignment horizontal="center"/>
    </xf>
    <xf numFmtId="10" fontId="1" fillId="8" borderId="8" xfId="0" applyNumberFormat="1" applyFont="1" applyFill="1" applyBorder="1" applyAlignment="1">
      <alignment horizontal="center"/>
    </xf>
    <xf numFmtId="166" fontId="1" fillId="8" borderId="9" xfId="0" applyNumberFormat="1" applyFont="1" applyFill="1" applyBorder="1" applyAlignment="1">
      <alignment horizontal="center"/>
    </xf>
    <xf numFmtId="166" fontId="1" fillId="0" borderId="5" xfId="0" applyNumberFormat="1" applyFont="1" applyBorder="1" applyAlignment="1">
      <alignment horizontal="center"/>
    </xf>
    <xf numFmtId="0" fontId="3" fillId="2" borderId="12" xfId="0" applyFont="1" applyFill="1" applyBorder="1" applyAlignment="1">
      <alignment horizontal="center"/>
    </xf>
    <xf numFmtId="10" fontId="4" fillId="0" borderId="4" xfId="0" applyNumberFormat="1" applyFont="1" applyBorder="1" applyAlignment="1">
      <alignment horizontal="center"/>
    </xf>
    <xf numFmtId="165" fontId="4" fillId="5" borderId="1" xfId="0" applyNumberFormat="1" applyFont="1" applyFill="1" applyBorder="1" applyAlignment="1">
      <alignment horizontal="center"/>
    </xf>
    <xf numFmtId="0" fontId="3" fillId="2" borderId="2" xfId="0" applyFont="1" applyFill="1" applyBorder="1" applyAlignment="1">
      <alignment horizontal="center"/>
    </xf>
    <xf numFmtId="165" fontId="4" fillId="5" borderId="13" xfId="0" applyNumberFormat="1" applyFont="1" applyFill="1" applyBorder="1" applyAlignment="1">
      <alignment horizontal="center"/>
    </xf>
    <xf numFmtId="167" fontId="4" fillId="5" borderId="8" xfId="0" applyNumberFormat="1" applyFont="1" applyFill="1" applyBorder="1" applyAlignment="1">
      <alignment horizontal="center"/>
    </xf>
    <xf numFmtId="167" fontId="4" fillId="5" borderId="9" xfId="0" applyNumberFormat="1" applyFont="1" applyFill="1" applyBorder="1" applyAlignment="1">
      <alignment horizontal="center"/>
    </xf>
    <xf numFmtId="0" fontId="0" fillId="0" borderId="0" xfId="0" applyAlignment="1">
      <alignment horizontal="center"/>
    </xf>
    <xf numFmtId="166" fontId="1" fillId="8" borderId="1" xfId="0" applyNumberFormat="1" applyFont="1" applyFill="1" applyBorder="1" applyAlignment="1">
      <alignment horizontal="center"/>
    </xf>
    <xf numFmtId="10" fontId="1" fillId="8" borderId="1" xfId="0" applyNumberFormat="1" applyFont="1" applyFill="1" applyBorder="1" applyAlignment="1">
      <alignment horizontal="center"/>
    </xf>
    <xf numFmtId="10" fontId="1" fillId="8" borderId="13" xfId="0" applyNumberFormat="1" applyFont="1" applyFill="1" applyBorder="1" applyAlignment="1">
      <alignment horizontal="center"/>
    </xf>
    <xf numFmtId="8" fontId="1" fillId="8" borderId="1" xfId="0" applyNumberFormat="1" applyFont="1" applyFill="1" applyBorder="1" applyAlignment="1">
      <alignment horizontal="center"/>
    </xf>
    <xf numFmtId="8" fontId="1" fillId="8" borderId="9" xfId="0" applyNumberFormat="1" applyFont="1" applyFill="1" applyBorder="1" applyAlignment="1">
      <alignment horizontal="center"/>
    </xf>
    <xf numFmtId="10" fontId="1" fillId="8" borderId="9" xfId="0" applyNumberFormat="1" applyFont="1" applyFill="1" applyBorder="1" applyAlignment="1">
      <alignment horizontal="center"/>
    </xf>
    <xf numFmtId="8" fontId="1" fillId="3" borderId="1" xfId="0" applyNumberFormat="1" applyFont="1" applyFill="1" applyBorder="1" applyAlignment="1">
      <alignment horizontal="center"/>
    </xf>
    <xf numFmtId="170" fontId="4" fillId="0" borderId="5" xfId="0" applyNumberFormat="1" applyFont="1" applyBorder="1" applyAlignment="1">
      <alignment horizontal="center"/>
    </xf>
    <xf numFmtId="10" fontId="1" fillId="8" borderId="17" xfId="0" applyNumberFormat="1" applyFont="1" applyFill="1" applyBorder="1" applyAlignment="1">
      <alignment horizontal="center"/>
    </xf>
    <xf numFmtId="8" fontId="1" fillId="8" borderId="18" xfId="0" applyNumberFormat="1" applyFont="1" applyFill="1" applyBorder="1" applyAlignment="1">
      <alignment horizontal="center"/>
    </xf>
    <xf numFmtId="10" fontId="1" fillId="8" borderId="18" xfId="0" applyNumberFormat="1" applyFont="1" applyFill="1" applyBorder="1" applyAlignment="1">
      <alignment horizontal="center"/>
    </xf>
    <xf numFmtId="166" fontId="1" fillId="8" borderId="18" xfId="0" applyNumberFormat="1" applyFont="1" applyFill="1" applyBorder="1" applyAlignment="1">
      <alignment horizontal="center"/>
    </xf>
    <xf numFmtId="166" fontId="1" fillId="3" borderId="1" xfId="0" applyNumberFormat="1" applyFont="1" applyFill="1" applyBorder="1" applyAlignment="1">
      <alignment horizontal="center"/>
    </xf>
    <xf numFmtId="171" fontId="1" fillId="3" borderId="1" xfId="0" applyNumberFormat="1" applyFont="1" applyFill="1" applyBorder="1" applyAlignment="1">
      <alignment horizontal="center"/>
    </xf>
    <xf numFmtId="4" fontId="1" fillId="2" borderId="18" xfId="0" applyNumberFormat="1" applyFont="1" applyFill="1" applyBorder="1" applyAlignment="1">
      <alignment horizontal="center"/>
    </xf>
    <xf numFmtId="0" fontId="3" fillId="2" borderId="19" xfId="0" applyFont="1" applyFill="1" applyBorder="1" applyAlignment="1">
      <alignment horizontal="center"/>
    </xf>
    <xf numFmtId="9" fontId="1" fillId="0" borderId="13" xfId="0" applyNumberFormat="1" applyFont="1" applyBorder="1" applyAlignment="1">
      <alignment horizontal="center"/>
    </xf>
    <xf numFmtId="0" fontId="3" fillId="2" borderId="14" xfId="0" applyFont="1" applyFill="1" applyBorder="1" applyAlignment="1">
      <alignment horizontal="center"/>
    </xf>
    <xf numFmtId="9" fontId="1" fillId="0" borderId="8" xfId="0" applyNumberFormat="1" applyFont="1" applyBorder="1" applyAlignment="1">
      <alignment horizontal="center"/>
    </xf>
    <xf numFmtId="10" fontId="1" fillId="4" borderId="9" xfId="0" applyNumberFormat="1" applyFont="1" applyFill="1" applyBorder="1" applyAlignment="1">
      <alignment horizontal="center"/>
    </xf>
    <xf numFmtId="166" fontId="1" fillId="3" borderId="9" xfId="0" applyNumberFormat="1" applyFont="1" applyFill="1" applyBorder="1" applyAlignment="1">
      <alignment horizontal="center"/>
    </xf>
    <xf numFmtId="9" fontId="1" fillId="3" borderId="9" xfId="0" applyNumberFormat="1" applyFont="1" applyFill="1" applyBorder="1" applyAlignment="1">
      <alignment horizontal="center"/>
    </xf>
    <xf numFmtId="0" fontId="1" fillId="3" borderId="9" xfId="0" applyFont="1" applyFill="1" applyBorder="1" applyAlignment="1">
      <alignment horizontal="center"/>
    </xf>
    <xf numFmtId="167" fontId="1" fillId="3" borderId="9" xfId="0" applyNumberFormat="1" applyFont="1" applyFill="1" applyBorder="1" applyAlignment="1">
      <alignment horizontal="center"/>
    </xf>
    <xf numFmtId="4" fontId="1" fillId="2" borderId="9" xfId="0" applyNumberFormat="1" applyFont="1" applyFill="1" applyBorder="1" applyAlignment="1">
      <alignment horizontal="center"/>
    </xf>
    <xf numFmtId="0" fontId="3" fillId="2" borderId="10" xfId="0" applyFont="1" applyFill="1" applyBorder="1" applyAlignment="1">
      <alignment horizontal="center"/>
    </xf>
    <xf numFmtId="10" fontId="1" fillId="3" borderId="9" xfId="0" applyNumberFormat="1" applyFont="1" applyFill="1" applyBorder="1" applyAlignment="1">
      <alignment horizontal="center"/>
    </xf>
    <xf numFmtId="0" fontId="1" fillId="2" borderId="9" xfId="0" applyFont="1" applyFill="1" applyBorder="1" applyAlignment="1">
      <alignment horizontal="center"/>
    </xf>
    <xf numFmtId="0" fontId="1" fillId="2" borderId="9" xfId="0" applyFont="1" applyFill="1" applyBorder="1"/>
    <xf numFmtId="166" fontId="1" fillId="4" borderId="9" xfId="0" applyNumberFormat="1" applyFont="1" applyFill="1" applyBorder="1" applyAlignment="1">
      <alignment horizontal="center"/>
    </xf>
    <xf numFmtId="9" fontId="1" fillId="4" borderId="9" xfId="0" applyNumberFormat="1" applyFont="1" applyFill="1" applyBorder="1" applyAlignment="1">
      <alignment horizontal="center"/>
    </xf>
    <xf numFmtId="0" fontId="1" fillId="4" borderId="9" xfId="0" applyFont="1" applyFill="1" applyBorder="1" applyAlignment="1">
      <alignment horizontal="center"/>
    </xf>
    <xf numFmtId="167" fontId="1" fillId="4" borderId="9" xfId="0" applyNumberFormat="1" applyFont="1" applyFill="1" applyBorder="1" applyAlignment="1">
      <alignment horizontal="center"/>
    </xf>
    <xf numFmtId="10" fontId="1" fillId="7" borderId="9" xfId="0" applyNumberFormat="1" applyFont="1" applyFill="1" applyBorder="1" applyAlignment="1">
      <alignment horizontal="center"/>
    </xf>
    <xf numFmtId="166" fontId="1" fillId="7" borderId="9" xfId="0" applyNumberFormat="1" applyFont="1" applyFill="1" applyBorder="1" applyAlignment="1">
      <alignment horizontal="center"/>
    </xf>
    <xf numFmtId="9" fontId="1" fillId="7" borderId="9" xfId="0" applyNumberFormat="1" applyFont="1" applyFill="1" applyBorder="1" applyAlignment="1">
      <alignment horizontal="center"/>
    </xf>
    <xf numFmtId="0" fontId="1" fillId="7" borderId="9" xfId="0" applyFont="1" applyFill="1" applyBorder="1" applyAlignment="1">
      <alignment horizontal="center"/>
    </xf>
    <xf numFmtId="167" fontId="1" fillId="7" borderId="9" xfId="0" applyNumberFormat="1" applyFont="1" applyFill="1" applyBorder="1" applyAlignment="1">
      <alignment horizontal="center"/>
    </xf>
    <xf numFmtId="167" fontId="4" fillId="5" borderId="0" xfId="0" applyNumberFormat="1" applyFont="1" applyFill="1" applyAlignment="1">
      <alignment horizontal="center"/>
    </xf>
    <xf numFmtId="9" fontId="4" fillId="5" borderId="0" xfId="0" applyNumberFormat="1" applyFont="1" applyFill="1" applyAlignment="1">
      <alignment horizontal="center"/>
    </xf>
    <xf numFmtId="167" fontId="1" fillId="5" borderId="0" xfId="0" applyNumberFormat="1" applyFont="1" applyFill="1" applyAlignment="1">
      <alignment horizontal="center"/>
    </xf>
    <xf numFmtId="0" fontId="2" fillId="2" borderId="13" xfId="0" applyFont="1" applyFill="1" applyBorder="1" applyAlignment="1">
      <alignment horizontal="center"/>
    </xf>
    <xf numFmtId="0" fontId="0" fillId="5" borderId="0" xfId="0" applyFill="1" applyAlignment="1">
      <alignment horizontal="center"/>
    </xf>
    <xf numFmtId="0" fontId="0" fillId="5" borderId="0" xfId="0" applyFill="1"/>
    <xf numFmtId="10" fontId="1" fillId="5" borderId="0" xfId="0" applyNumberFormat="1" applyFont="1" applyFill="1" applyAlignment="1">
      <alignment horizontal="center"/>
    </xf>
    <xf numFmtId="166" fontId="1" fillId="5" borderId="0" xfId="0" applyNumberFormat="1" applyFont="1" applyFill="1" applyAlignment="1">
      <alignment horizontal="center"/>
    </xf>
    <xf numFmtId="0" fontId="1" fillId="5" borderId="0" xfId="0" applyFont="1" applyFill="1" applyAlignment="1">
      <alignment horizontal="center"/>
    </xf>
    <xf numFmtId="0" fontId="2" fillId="5" borderId="0" xfId="0" applyFont="1" applyFill="1"/>
    <xf numFmtId="0" fontId="2" fillId="5" borderId="0" xfId="0" applyFont="1" applyFill="1" applyAlignment="1">
      <alignment horizontal="center"/>
    </xf>
    <xf numFmtId="164" fontId="2" fillId="5" borderId="0" xfId="0" applyNumberFormat="1" applyFont="1" applyFill="1" applyAlignment="1">
      <alignment horizontal="center"/>
    </xf>
    <xf numFmtId="169" fontId="2" fillId="5" borderId="0" xfId="0" applyNumberFormat="1" applyFont="1" applyFill="1" applyAlignment="1">
      <alignment horizontal="center"/>
    </xf>
    <xf numFmtId="165" fontId="1" fillId="3" borderId="9" xfId="0" applyNumberFormat="1" applyFont="1" applyFill="1" applyBorder="1" applyAlignment="1">
      <alignment horizontal="center"/>
    </xf>
    <xf numFmtId="165" fontId="1" fillId="4" borderId="1" xfId="0" applyNumberFormat="1" applyFont="1" applyFill="1" applyBorder="1" applyAlignment="1">
      <alignment horizontal="center"/>
    </xf>
    <xf numFmtId="165" fontId="1" fillId="4" borderId="9" xfId="0" applyNumberFormat="1" applyFont="1" applyFill="1" applyBorder="1" applyAlignment="1">
      <alignment horizontal="center"/>
    </xf>
    <xf numFmtId="165" fontId="1" fillId="7" borderId="1" xfId="0" applyNumberFormat="1" applyFont="1" applyFill="1" applyBorder="1" applyAlignment="1">
      <alignment horizontal="center"/>
    </xf>
    <xf numFmtId="165" fontId="1" fillId="7" borderId="9" xfId="0" applyNumberFormat="1" applyFont="1" applyFill="1" applyBorder="1" applyAlignment="1">
      <alignment horizontal="center"/>
    </xf>
    <xf numFmtId="166" fontId="0" fillId="0" borderId="0" xfId="0" applyNumberFormat="1"/>
    <xf numFmtId="43" fontId="0" fillId="0" borderId="0" xfId="0" applyNumberFormat="1"/>
    <xf numFmtId="0" fontId="4" fillId="3" borderId="1" xfId="0" applyFont="1" applyFill="1" applyBorder="1" applyAlignment="1">
      <alignment horizontal="center"/>
    </xf>
    <xf numFmtId="0" fontId="4" fillId="3" borderId="9" xfId="0" applyFont="1" applyFill="1" applyBorder="1" applyAlignment="1">
      <alignment horizontal="center"/>
    </xf>
    <xf numFmtId="0" fontId="4" fillId="4" borderId="1" xfId="0" applyFont="1" applyFill="1" applyBorder="1" applyAlignment="1">
      <alignment horizontal="center"/>
    </xf>
    <xf numFmtId="0" fontId="4" fillId="4" borderId="9" xfId="0" applyFont="1" applyFill="1" applyBorder="1" applyAlignment="1">
      <alignment horizontal="center"/>
    </xf>
    <xf numFmtId="0" fontId="4" fillId="7" borderId="1" xfId="0" applyFont="1" applyFill="1" applyBorder="1" applyAlignment="1">
      <alignment horizontal="center"/>
    </xf>
    <xf numFmtId="0" fontId="4" fillId="7" borderId="9" xfId="0" applyFont="1" applyFill="1" applyBorder="1" applyAlignment="1">
      <alignment horizontal="center"/>
    </xf>
    <xf numFmtId="0" fontId="4" fillId="8" borderId="14" xfId="0" applyFont="1" applyFill="1" applyBorder="1" applyAlignment="1">
      <alignment horizontal="center"/>
    </xf>
    <xf numFmtId="0" fontId="4" fillId="8" borderId="19" xfId="0" applyFont="1" applyFill="1" applyBorder="1" applyAlignment="1">
      <alignment horizontal="center"/>
    </xf>
    <xf numFmtId="0" fontId="4" fillId="8" borderId="10" xfId="0" applyFont="1" applyFill="1" applyBorder="1" applyAlignment="1">
      <alignment horizontal="center"/>
    </xf>
    <xf numFmtId="0" fontId="2" fillId="2" borderId="26" xfId="0" applyFont="1" applyFill="1" applyBorder="1" applyAlignment="1">
      <alignment horizontal="center"/>
    </xf>
    <xf numFmtId="0" fontId="2" fillId="2" borderId="27" xfId="0" applyFont="1" applyFill="1" applyBorder="1" applyAlignment="1">
      <alignment horizontal="center"/>
    </xf>
    <xf numFmtId="0" fontId="2" fillId="2" borderId="28" xfId="0" applyFont="1" applyFill="1" applyBorder="1" applyAlignment="1">
      <alignment horizontal="center"/>
    </xf>
    <xf numFmtId="167" fontId="6" fillId="4" borderId="9" xfId="0" applyNumberFormat="1" applyFont="1" applyFill="1" applyBorder="1" applyAlignment="1">
      <alignment horizontal="center"/>
    </xf>
    <xf numFmtId="167" fontId="6" fillId="4" borderId="1" xfId="0" applyNumberFormat="1" applyFont="1" applyFill="1" applyBorder="1" applyAlignment="1">
      <alignment horizontal="center"/>
    </xf>
    <xf numFmtId="167" fontId="6" fillId="3" borderId="1" xfId="0" applyNumberFormat="1" applyFont="1" applyFill="1" applyBorder="1" applyAlignment="1">
      <alignment horizontal="center"/>
    </xf>
    <xf numFmtId="167" fontId="6" fillId="3" borderId="9" xfId="0" applyNumberFormat="1" applyFont="1" applyFill="1" applyBorder="1" applyAlignment="1">
      <alignment horizontal="center"/>
    </xf>
    <xf numFmtId="166" fontId="4" fillId="5" borderId="8" xfId="0" applyNumberFormat="1" applyFont="1" applyFill="1" applyBorder="1" applyAlignment="1">
      <alignment horizontal="center"/>
    </xf>
    <xf numFmtId="9" fontId="4" fillId="5" borderId="13" xfId="0" applyNumberFormat="1" applyFont="1" applyFill="1" applyBorder="1" applyAlignment="1">
      <alignment horizontal="center"/>
    </xf>
    <xf numFmtId="9" fontId="4" fillId="5" borderId="8" xfId="0" applyNumberFormat="1" applyFont="1" applyFill="1" applyBorder="1" applyAlignment="1">
      <alignment horizontal="center"/>
    </xf>
    <xf numFmtId="9" fontId="7" fillId="5" borderId="0" xfId="0" applyNumberFormat="1" applyFont="1" applyFill="1" applyAlignment="1">
      <alignment horizontal="center"/>
    </xf>
    <xf numFmtId="0" fontId="3" fillId="2" borderId="29" xfId="0" applyFont="1" applyFill="1" applyBorder="1" applyAlignment="1">
      <alignment horizontal="center"/>
    </xf>
    <xf numFmtId="0" fontId="3" fillId="2" borderId="30" xfId="0" applyFont="1" applyFill="1" applyBorder="1" applyAlignment="1">
      <alignment horizontal="center"/>
    </xf>
    <xf numFmtId="9" fontId="7" fillId="5" borderId="14" xfId="0" applyNumberFormat="1" applyFont="1" applyFill="1" applyBorder="1" applyAlignment="1">
      <alignment horizontal="center"/>
    </xf>
    <xf numFmtId="9" fontId="7" fillId="5" borderId="10" xfId="0" applyNumberFormat="1" applyFont="1" applyFill="1" applyBorder="1" applyAlignment="1">
      <alignment horizontal="center"/>
    </xf>
    <xf numFmtId="0" fontId="2" fillId="2" borderId="25" xfId="0" applyFont="1" applyFill="1" applyBorder="1" applyAlignment="1">
      <alignment horizontal="center"/>
    </xf>
    <xf numFmtId="0" fontId="2" fillId="2" borderId="6" xfId="0" applyFont="1" applyFill="1" applyBorder="1" applyAlignment="1">
      <alignment horizontal="center"/>
    </xf>
    <xf numFmtId="0" fontId="3" fillId="2" borderId="7" xfId="0" applyFont="1" applyFill="1" applyBorder="1" applyAlignment="1">
      <alignment horizontal="center"/>
    </xf>
    <xf numFmtId="0" fontId="2" fillId="2" borderId="4" xfId="0" applyFont="1" applyFill="1" applyBorder="1" applyAlignment="1">
      <alignment horizontal="center"/>
    </xf>
    <xf numFmtId="0" fontId="2" fillId="2" borderId="5" xfId="0" applyFont="1" applyFill="1" applyBorder="1" applyAlignment="1">
      <alignment horizontal="center"/>
    </xf>
    <xf numFmtId="167" fontId="1" fillId="5" borderId="11" xfId="0" applyNumberFormat="1" applyFont="1" applyFill="1" applyBorder="1" applyAlignment="1">
      <alignment horizontal="center"/>
    </xf>
    <xf numFmtId="167" fontId="1" fillId="5" borderId="15" xfId="0" applyNumberFormat="1" applyFont="1" applyFill="1" applyBorder="1" applyAlignment="1">
      <alignment horizontal="center"/>
    </xf>
    <xf numFmtId="0" fontId="0" fillId="0" borderId="0" xfId="0" applyAlignment="1">
      <alignment horizontal="center"/>
    </xf>
    <xf numFmtId="0" fontId="4" fillId="0" borderId="20" xfId="0" applyFont="1" applyBorder="1" applyAlignment="1">
      <alignment horizontal="center"/>
    </xf>
    <xf numFmtId="0" fontId="4" fillId="0" borderId="21" xfId="0" applyFont="1" applyBorder="1" applyAlignment="1">
      <alignment horizontal="center"/>
    </xf>
    <xf numFmtId="0" fontId="4" fillId="0" borderId="22" xfId="0" applyFont="1" applyBorder="1" applyAlignment="1">
      <alignment horizontal="center"/>
    </xf>
    <xf numFmtId="0" fontId="2" fillId="2" borderId="0" xfId="0" applyFont="1" applyFill="1" applyAlignment="1">
      <alignment horizontal="center"/>
    </xf>
    <xf numFmtId="169" fontId="2" fillId="2" borderId="0" xfId="0" applyNumberFormat="1" applyFont="1" applyFill="1" applyAlignment="1">
      <alignment horizontal="center"/>
    </xf>
    <xf numFmtId="168" fontId="1" fillId="5" borderId="1" xfId="0" applyNumberFormat="1" applyFont="1" applyFill="1" applyBorder="1" applyAlignment="1">
      <alignment horizontal="center"/>
    </xf>
    <xf numFmtId="168" fontId="1" fillId="5" borderId="14" xfId="0" applyNumberFormat="1" applyFont="1" applyFill="1" applyBorder="1" applyAlignment="1">
      <alignment horizontal="center"/>
    </xf>
    <xf numFmtId="0" fontId="3" fillId="2" borderId="2" xfId="0" applyFont="1" applyFill="1" applyBorder="1" applyAlignment="1">
      <alignment horizontal="center"/>
    </xf>
    <xf numFmtId="0" fontId="3" fillId="2" borderId="3" xfId="0" applyFont="1" applyFill="1" applyBorder="1" applyAlignment="1">
      <alignment horizontal="center"/>
    </xf>
    <xf numFmtId="0" fontId="3" fillId="2" borderId="16" xfId="0" applyFont="1" applyFill="1" applyBorder="1" applyAlignment="1">
      <alignment horizontal="center"/>
    </xf>
    <xf numFmtId="165" fontId="5" fillId="5" borderId="6" xfId="0" applyNumberFormat="1" applyFont="1" applyFill="1" applyBorder="1" applyAlignment="1">
      <alignment horizontal="center"/>
    </xf>
    <xf numFmtId="165" fontId="5" fillId="5" borderId="7" xfId="0" applyNumberFormat="1" applyFont="1" applyFill="1" applyBorder="1" applyAlignment="1">
      <alignment horizontal="center"/>
    </xf>
    <xf numFmtId="165" fontId="5" fillId="5" borderId="9" xfId="0" applyNumberFormat="1" applyFont="1" applyFill="1" applyBorder="1" applyAlignment="1">
      <alignment horizontal="center"/>
    </xf>
    <xf numFmtId="165" fontId="5" fillId="5" borderId="10" xfId="0" applyNumberFormat="1" applyFont="1" applyFill="1" applyBorder="1" applyAlignment="1">
      <alignment horizontal="center"/>
    </xf>
    <xf numFmtId="9" fontId="4" fillId="5" borderId="16" xfId="0" applyNumberFormat="1" applyFont="1" applyFill="1" applyBorder="1" applyAlignment="1">
      <alignment horizontal="center" vertical="center"/>
    </xf>
    <xf numFmtId="9" fontId="4" fillId="5" borderId="24" xfId="0" applyNumberFormat="1" applyFont="1" applyFill="1" applyBorder="1" applyAlignment="1">
      <alignment horizontal="center" vertical="center"/>
    </xf>
    <xf numFmtId="165" fontId="5" fillId="5" borderId="25" xfId="0" applyNumberFormat="1" applyFont="1" applyFill="1" applyBorder="1" applyAlignment="1">
      <alignment horizontal="center"/>
    </xf>
    <xf numFmtId="165" fontId="5" fillId="5" borderId="8" xfId="0" applyNumberFormat="1" applyFont="1" applyFill="1" applyBorder="1" applyAlignment="1">
      <alignment horizontal="center"/>
    </xf>
    <xf numFmtId="0" fontId="4" fillId="0" borderId="23" xfId="0" applyFont="1" applyBorder="1" applyAlignment="1">
      <alignment horizontal="center"/>
    </xf>
    <xf numFmtId="0" fontId="4" fillId="0" borderId="2" xfId="0" applyFont="1" applyBorder="1" applyAlignment="1">
      <alignment horizontal="center"/>
    </xf>
    <xf numFmtId="0" fontId="4" fillId="0" borderId="3" xfId="0" applyFont="1" applyBorder="1" applyAlignment="1">
      <alignment horizontal="center"/>
    </xf>
    <xf numFmtId="0" fontId="0" fillId="5" borderId="0" xfId="0" applyFill="1" applyAlignment="1">
      <alignment horizontal="center"/>
    </xf>
    <xf numFmtId="0" fontId="0" fillId="5" borderId="31" xfId="0" applyFill="1" applyBorder="1" applyAlignment="1">
      <alignment horizontal="center"/>
    </xf>
  </cellXfs>
  <cellStyles count="1">
    <cellStyle name="Normal" xfId="0" builtinId="0"/>
  </cellStyles>
  <dxfs count="8">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theme="1"/>
      </font>
      <fill>
        <patternFill>
          <bgColor rgb="FFFFC000"/>
        </patternFill>
      </fill>
    </dxf>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ichStyles" Target="richData/richStyles.xml"/><Relationship Id="rId3" Type="http://schemas.openxmlformats.org/officeDocument/2006/relationships/styles" Target="styles.xml"/><Relationship Id="rId7" Type="http://schemas.microsoft.com/office/2017/06/relationships/rdRichValueStructure" Target="richData/rdrichvaluestructure.xml"/><Relationship Id="rId12" Type="http://schemas.openxmlformats.org/officeDocument/2006/relationships/calcChain" Target="calcChain.xml"/><Relationship Id="rId2" Type="http://schemas.openxmlformats.org/officeDocument/2006/relationships/theme" Target="theme/theme1.xml"/><Relationship Id="rId1" Type="http://schemas.openxmlformats.org/officeDocument/2006/relationships/worksheet" Target="worksheets/sheet1.xml"/><Relationship Id="rId6" Type="http://schemas.microsoft.com/office/2017/06/relationships/rdRichValue" Target="richData/rdrichvalue.xml"/><Relationship Id="rId11" Type="http://schemas.microsoft.com/office/2017/06/relationships/rdRichValueTypes" Target="richData/rdRichValueTypes.xml"/><Relationship Id="rId5" Type="http://schemas.openxmlformats.org/officeDocument/2006/relationships/sheetMetadata" Target="metadata.xml"/><Relationship Id="rId10" Type="http://schemas.microsoft.com/office/2017/06/relationships/rdSupportingPropertyBag" Target="richData/rdsupportingpropertybag.xml"/><Relationship Id="rId4" Type="http://schemas.openxmlformats.org/officeDocument/2006/relationships/sharedStrings" Target="sharedStrings.xml"/><Relationship Id="rId9" Type="http://schemas.microsoft.com/office/2017/06/relationships/rdSupportingPropertyBagStructure" Target="richData/rdsupportingpropertybagstructure.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he-IL"/>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גיליון1!$D$20</c:f>
              <c:strCache>
                <c:ptCount val="1"/>
                <c:pt idx="0">
                  <c:v>סקטור</c:v>
                </c:pt>
              </c:strCache>
            </c:strRef>
          </c:tx>
          <c:dPt>
            <c:idx val="0"/>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sp3d/>
            </c:spPr>
            <c:extLst>
              <c:ext xmlns:c16="http://schemas.microsoft.com/office/drawing/2014/chart" uri="{C3380CC4-5D6E-409C-BE32-E72D297353CC}">
                <c16:uniqueId val="{00000008-12DC-4080-8BCF-9811D84D0CE8}"/>
              </c:ext>
            </c:extLst>
          </c:dPt>
          <c:dPt>
            <c:idx val="1"/>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sp3d/>
            </c:spPr>
            <c:extLst>
              <c:ext xmlns:c16="http://schemas.microsoft.com/office/drawing/2014/chart" uri="{C3380CC4-5D6E-409C-BE32-E72D297353CC}">
                <c16:uniqueId val="{00000009-12DC-4080-8BCF-9811D84D0CE8}"/>
              </c:ext>
            </c:extLst>
          </c:dPt>
          <c:dPt>
            <c:idx val="2"/>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sp3d/>
            </c:spPr>
            <c:extLst>
              <c:ext xmlns:c16="http://schemas.microsoft.com/office/drawing/2014/chart" uri="{C3380CC4-5D6E-409C-BE32-E72D297353CC}">
                <c16:uniqueId val="{0000000A-12DC-4080-8BCF-9811D84D0CE8}"/>
              </c:ext>
            </c:extLst>
          </c:dPt>
          <c:dPt>
            <c:idx val="3"/>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sp3d/>
            </c:spPr>
            <c:extLst>
              <c:ext xmlns:c16="http://schemas.microsoft.com/office/drawing/2014/chart" uri="{C3380CC4-5D6E-409C-BE32-E72D297353CC}">
                <c16:uniqueId val="{0000000B-12DC-4080-8BCF-9811D84D0CE8}"/>
              </c:ext>
            </c:extLst>
          </c:dPt>
          <c:dPt>
            <c:idx val="4"/>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sp3d/>
            </c:spPr>
            <c:extLst>
              <c:ext xmlns:c16="http://schemas.microsoft.com/office/drawing/2014/chart" uri="{C3380CC4-5D6E-409C-BE32-E72D297353CC}">
                <c16:uniqueId val="{0000000C-12DC-4080-8BCF-9811D84D0CE8}"/>
              </c:ext>
            </c:extLst>
          </c:dPt>
          <c:dPt>
            <c:idx val="5"/>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sp3d/>
            </c:spPr>
            <c:extLst>
              <c:ext xmlns:c16="http://schemas.microsoft.com/office/drawing/2014/chart" uri="{C3380CC4-5D6E-409C-BE32-E72D297353CC}">
                <c16:uniqueId val="{00000010-12DC-4080-8BCF-9811D84D0CE8}"/>
              </c:ext>
            </c:extLst>
          </c:dPt>
          <c:dPt>
            <c:idx val="6"/>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sp3d/>
            </c:spPr>
            <c:extLst>
              <c:ext xmlns:c16="http://schemas.microsoft.com/office/drawing/2014/chart" uri="{C3380CC4-5D6E-409C-BE32-E72D297353CC}">
                <c16:uniqueId val="{0000000F-12DC-4080-8BCF-9811D84D0CE8}"/>
              </c:ext>
            </c:extLst>
          </c:dPt>
          <c:dPt>
            <c:idx val="7"/>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sp3d/>
            </c:spPr>
            <c:extLst>
              <c:ext xmlns:c16="http://schemas.microsoft.com/office/drawing/2014/chart" uri="{C3380CC4-5D6E-409C-BE32-E72D297353CC}">
                <c16:uniqueId val="{0000000D-12DC-4080-8BCF-9811D84D0CE8}"/>
              </c:ext>
            </c:extLst>
          </c:dPt>
          <c:dPt>
            <c:idx val="8"/>
            <c:bubble3D val="0"/>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sp3d/>
            </c:spPr>
            <c:extLst>
              <c:ext xmlns:c16="http://schemas.microsoft.com/office/drawing/2014/chart" uri="{C3380CC4-5D6E-409C-BE32-E72D297353CC}">
                <c16:uniqueId val="{0000000E-12DC-4080-8BCF-9811D84D0CE8}"/>
              </c:ext>
            </c:extLst>
          </c:dPt>
          <c:dPt>
            <c:idx val="9"/>
            <c:bubble3D val="0"/>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a:noFill/>
              </a:ln>
              <a:effectLst/>
              <a:sp3d/>
            </c:spPr>
            <c:extLst>
              <c:ext xmlns:c16="http://schemas.microsoft.com/office/drawing/2014/chart" uri="{C3380CC4-5D6E-409C-BE32-E72D297353CC}">
                <c16:uniqueId val="{00000007-12DC-4080-8BCF-9811D84D0CE8}"/>
              </c:ext>
            </c:extLst>
          </c:dPt>
          <c:dPt>
            <c:idx val="10"/>
            <c:bubble3D val="0"/>
            <c:spPr>
              <a:gradFill rotWithShape="1">
                <a:gsLst>
                  <a:gs pos="0">
                    <a:schemeClr val="accent4">
                      <a:lumMod val="80000"/>
                      <a:satMod val="103000"/>
                      <a:lumMod val="102000"/>
                      <a:tint val="94000"/>
                    </a:schemeClr>
                  </a:gs>
                  <a:gs pos="50000">
                    <a:schemeClr val="accent4">
                      <a:lumMod val="80000"/>
                      <a:satMod val="110000"/>
                      <a:lumMod val="100000"/>
                      <a:shade val="100000"/>
                    </a:schemeClr>
                  </a:gs>
                  <a:gs pos="100000">
                    <a:schemeClr val="accent4">
                      <a:lumMod val="80000"/>
                      <a:lumMod val="99000"/>
                      <a:satMod val="120000"/>
                      <a:shade val="78000"/>
                    </a:schemeClr>
                  </a:gs>
                </a:gsLst>
                <a:lin ang="5400000" scaled="0"/>
              </a:gradFill>
              <a:ln>
                <a:noFill/>
              </a:ln>
              <a:effectLst/>
              <a:sp3d/>
            </c:spPr>
            <c:extLst>
              <c:ext xmlns:c16="http://schemas.microsoft.com/office/drawing/2014/chart" uri="{C3380CC4-5D6E-409C-BE32-E72D297353CC}">
                <c16:uniqueId val="{00000006-12DC-4080-8BCF-9811D84D0CE8}"/>
              </c:ext>
            </c:extLst>
          </c:dPt>
          <c:dPt>
            <c:idx val="11"/>
            <c:bubble3D val="0"/>
            <c:spPr>
              <a:gradFill rotWithShape="1">
                <a:gsLst>
                  <a:gs pos="0">
                    <a:schemeClr val="accent6">
                      <a:lumMod val="80000"/>
                      <a:satMod val="103000"/>
                      <a:lumMod val="102000"/>
                      <a:tint val="94000"/>
                    </a:schemeClr>
                  </a:gs>
                  <a:gs pos="50000">
                    <a:schemeClr val="accent6">
                      <a:lumMod val="80000"/>
                      <a:satMod val="110000"/>
                      <a:lumMod val="100000"/>
                      <a:shade val="100000"/>
                    </a:schemeClr>
                  </a:gs>
                  <a:gs pos="100000">
                    <a:schemeClr val="accent6">
                      <a:lumMod val="80000"/>
                      <a:lumMod val="99000"/>
                      <a:satMod val="120000"/>
                      <a:shade val="78000"/>
                    </a:schemeClr>
                  </a:gs>
                </a:gsLst>
                <a:lin ang="5400000" scaled="0"/>
              </a:gradFill>
              <a:ln>
                <a:noFill/>
              </a:ln>
              <a:effectLst/>
              <a:sp3d/>
            </c:spPr>
            <c:extLst>
              <c:ext xmlns:c16="http://schemas.microsoft.com/office/drawing/2014/chart" uri="{C3380CC4-5D6E-409C-BE32-E72D297353CC}">
                <c16:uniqueId val="{00000005-12DC-4080-8BCF-9811D84D0CE8}"/>
              </c:ext>
            </c:extLst>
          </c:dPt>
          <c:dPt>
            <c:idx val="12"/>
            <c:bubble3D val="0"/>
            <c:spPr>
              <a:gradFill rotWithShape="1">
                <a:gsLst>
                  <a:gs pos="0">
                    <a:schemeClr val="accent2">
                      <a:lumMod val="60000"/>
                      <a:lumOff val="40000"/>
                      <a:satMod val="103000"/>
                      <a:lumMod val="102000"/>
                      <a:tint val="94000"/>
                    </a:schemeClr>
                  </a:gs>
                  <a:gs pos="50000">
                    <a:schemeClr val="accent2">
                      <a:lumMod val="60000"/>
                      <a:lumOff val="40000"/>
                      <a:satMod val="110000"/>
                      <a:lumMod val="100000"/>
                      <a:shade val="100000"/>
                    </a:schemeClr>
                  </a:gs>
                  <a:gs pos="100000">
                    <a:schemeClr val="accent2">
                      <a:lumMod val="60000"/>
                      <a:lumOff val="40000"/>
                      <a:lumMod val="99000"/>
                      <a:satMod val="120000"/>
                      <a:shade val="78000"/>
                    </a:schemeClr>
                  </a:gs>
                </a:gsLst>
                <a:lin ang="5400000" scaled="0"/>
              </a:gradFill>
              <a:ln>
                <a:noFill/>
              </a:ln>
              <a:effectLst/>
              <a:sp3d/>
            </c:spPr>
            <c:extLst>
              <c:ext xmlns:c16="http://schemas.microsoft.com/office/drawing/2014/chart" uri="{C3380CC4-5D6E-409C-BE32-E72D297353CC}">
                <c16:uniqueId val="{00000004-12DC-4080-8BCF-9811D84D0CE8}"/>
              </c:ext>
            </c:extLst>
          </c:dPt>
          <c:dPt>
            <c:idx val="13"/>
            <c:bubble3D val="0"/>
            <c:spPr>
              <a:gradFill rotWithShape="1">
                <a:gsLst>
                  <a:gs pos="0">
                    <a:schemeClr val="accent4">
                      <a:lumMod val="60000"/>
                      <a:lumOff val="40000"/>
                      <a:satMod val="103000"/>
                      <a:lumMod val="102000"/>
                      <a:tint val="94000"/>
                    </a:schemeClr>
                  </a:gs>
                  <a:gs pos="50000">
                    <a:schemeClr val="accent4">
                      <a:lumMod val="60000"/>
                      <a:lumOff val="40000"/>
                      <a:satMod val="110000"/>
                      <a:lumMod val="100000"/>
                      <a:shade val="100000"/>
                    </a:schemeClr>
                  </a:gs>
                  <a:gs pos="100000">
                    <a:schemeClr val="accent4">
                      <a:lumMod val="60000"/>
                      <a:lumOff val="40000"/>
                      <a:lumMod val="99000"/>
                      <a:satMod val="120000"/>
                      <a:shade val="78000"/>
                    </a:schemeClr>
                  </a:gs>
                </a:gsLst>
                <a:lin ang="5400000" scaled="0"/>
              </a:gradFill>
              <a:ln>
                <a:noFill/>
              </a:ln>
              <a:effectLst/>
              <a:sp3d/>
            </c:spPr>
            <c:extLst>
              <c:ext xmlns:c16="http://schemas.microsoft.com/office/drawing/2014/chart" uri="{C3380CC4-5D6E-409C-BE32-E72D297353CC}">
                <c16:uniqueId val="{00000003-12DC-4080-8BCF-9811D84D0CE8}"/>
              </c:ext>
            </c:extLst>
          </c:dPt>
          <c:dPt>
            <c:idx val="14"/>
            <c:bubble3D val="0"/>
            <c:spPr>
              <a:gradFill rotWithShape="1">
                <a:gsLst>
                  <a:gs pos="0">
                    <a:schemeClr val="accent6">
                      <a:lumMod val="60000"/>
                      <a:lumOff val="40000"/>
                      <a:satMod val="103000"/>
                      <a:lumMod val="102000"/>
                      <a:tint val="94000"/>
                    </a:schemeClr>
                  </a:gs>
                  <a:gs pos="50000">
                    <a:schemeClr val="accent6">
                      <a:lumMod val="60000"/>
                      <a:lumOff val="40000"/>
                      <a:satMod val="110000"/>
                      <a:lumMod val="100000"/>
                      <a:shade val="100000"/>
                    </a:schemeClr>
                  </a:gs>
                  <a:gs pos="100000">
                    <a:schemeClr val="accent6">
                      <a:lumMod val="60000"/>
                      <a:lumOff val="40000"/>
                      <a:lumMod val="99000"/>
                      <a:satMod val="120000"/>
                      <a:shade val="78000"/>
                    </a:schemeClr>
                  </a:gs>
                </a:gsLst>
                <a:lin ang="5400000" scaled="0"/>
              </a:gradFill>
              <a:ln>
                <a:noFill/>
              </a:ln>
              <a:effectLst/>
              <a:sp3d/>
            </c:spPr>
            <c:extLst>
              <c:ext xmlns:c16="http://schemas.microsoft.com/office/drawing/2014/chart" uri="{C3380CC4-5D6E-409C-BE32-E72D297353CC}">
                <c16:uniqueId val="{00000002-12DC-4080-8BCF-9811D84D0CE8}"/>
              </c:ext>
            </c:extLst>
          </c:dPt>
          <c:dLbls>
            <c:dLbl>
              <c:idx val="0"/>
              <c:layout>
                <c:manualLayout>
                  <c:x val="-0.20207615075680721"/>
                  <c:y val="4.5313898139556101E-2"/>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8-12DC-4080-8BCF-9811D84D0CE8}"/>
                </c:ext>
              </c:extLst>
            </c:dLbl>
            <c:dLbl>
              <c:idx val="1"/>
              <c:layout>
                <c:manualLayout>
                  <c:x val="-0.15019173367060007"/>
                  <c:y val="-0.14241510843860494"/>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9-12DC-4080-8BCF-9811D84D0CE8}"/>
                </c:ext>
              </c:extLst>
            </c:dLbl>
            <c:dLbl>
              <c:idx val="2"/>
              <c:layout>
                <c:manualLayout>
                  <c:x val="-0.12288414573049097"/>
                  <c:y val="-0.24598973275759034"/>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A-12DC-4080-8BCF-9811D84D0CE8}"/>
                </c:ext>
              </c:extLst>
            </c:dLbl>
            <c:dLbl>
              <c:idx val="3"/>
              <c:layout>
                <c:manualLayout>
                  <c:x val="0.22119146231488357"/>
                  <c:y val="5.8260726179429276E-2"/>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B-12DC-4080-8BCF-9811D84D0CE8}"/>
                </c:ext>
              </c:extLst>
            </c:dLbl>
            <c:dLbl>
              <c:idx val="4"/>
              <c:layout>
                <c:manualLayout>
                  <c:x val="0.11469186934845815"/>
                  <c:y val="9.0627796279112202E-2"/>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C-12DC-4080-8BCF-9811D84D0CE8}"/>
                </c:ext>
              </c:extLst>
            </c:dLbl>
            <c:dLbl>
              <c:idx val="5"/>
              <c:layout>
                <c:manualLayout>
                  <c:x val="2.7307587940109085E-3"/>
                  <c:y val="0.12299486637879513"/>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10-12DC-4080-8BCF-9811D84D0CE8}"/>
                </c:ext>
              </c:extLst>
            </c:dLbl>
            <c:dLbl>
              <c:idx val="6"/>
              <c:layout>
                <c:manualLayout>
                  <c:x val="-5.1884417086207259E-2"/>
                  <c:y val="0.10033791730901709"/>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F-12DC-4080-8BCF-9811D84D0CE8}"/>
                </c:ext>
              </c:extLst>
            </c:dLbl>
            <c:dLbl>
              <c:idx val="7"/>
              <c:layout>
                <c:manualLayout>
                  <c:x val="2.7307587940109085E-3"/>
                  <c:y val="7.7680968239239034E-2"/>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D-12DC-4080-8BCF-9811D84D0CE8}"/>
                </c:ext>
              </c:extLst>
            </c:dLbl>
            <c:dLbl>
              <c:idx val="8"/>
              <c:layout>
                <c:manualLayout>
                  <c:x val="1.3653793970054543E-2"/>
                  <c:y val="6.1496923471758204E-2"/>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E-12DC-4080-8BCF-9811D84D0CE8}"/>
                </c:ext>
              </c:extLst>
            </c:dLbl>
            <c:dLbl>
              <c:idx val="9"/>
              <c:layout>
                <c:manualLayout>
                  <c:x val="0.12288414573049088"/>
                  <c:y val="3.2367070099682928E-3"/>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7-12DC-4080-8BCF-9811D84D0CE8}"/>
                </c:ext>
              </c:extLst>
            </c:dLbl>
            <c:dLbl>
              <c:idx val="10"/>
              <c:layout>
                <c:manualLayout>
                  <c:x val="-1.3653793970054543E-2"/>
                  <c:y val="2.2656949069778037E-2"/>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6-12DC-4080-8BCF-9811D84D0CE8}"/>
                </c:ext>
              </c:extLst>
            </c:dLbl>
            <c:dLbl>
              <c:idx val="11"/>
              <c:layout>
                <c:manualLayout>
                  <c:x val="-4.9153658292196353E-2"/>
                  <c:y val="0"/>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5-12DC-4080-8BCF-9811D84D0CE8}"/>
                </c:ext>
              </c:extLst>
            </c:dLbl>
            <c:dLbl>
              <c:idx val="12"/>
              <c:layout>
                <c:manualLayout>
                  <c:x val="-2.4576829146098177E-2"/>
                  <c:y val="-3.8840484119619517E-2"/>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4-12DC-4080-8BCF-9811D84D0CE8}"/>
                </c:ext>
              </c:extLst>
            </c:dLbl>
            <c:dLbl>
              <c:idx val="13"/>
              <c:layout>
                <c:manualLayout>
                  <c:x val="5.4615175880218116E-2"/>
                  <c:y val="-2.9130363089714641E-2"/>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12DC-4080-8BCF-9811D84D0CE8}"/>
                </c:ext>
              </c:extLst>
            </c:dLbl>
            <c:dLbl>
              <c:idx val="14"/>
              <c:layout>
                <c:manualLayout>
                  <c:x val="0.14746097487658905"/>
                  <c:y val="-4.2077191129587813E-2"/>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2-12DC-4080-8BCF-9811D84D0CE8}"/>
                </c:ext>
              </c:extLst>
            </c:dLbl>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Open Sans Hebrew" panose="00000500000000000000" pitchFamily="2" charset="-79"/>
                    <a:ea typeface="+mn-ea"/>
                    <a:cs typeface="Open Sans Hebrew" panose="00000500000000000000" pitchFamily="2" charset="-79"/>
                  </a:defRPr>
                </a:pPr>
                <a:endParaRPr lang="LID4096"/>
              </a:p>
            </c:txPr>
            <c:dLblPos val="outEnd"/>
            <c:showLegendKey val="0"/>
            <c:showVal val="1"/>
            <c:showCatName val="1"/>
            <c:showSerName val="0"/>
            <c:showPercent val="0"/>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גיליון1!$D$21:$D$35</c:f>
              <c:strCache>
                <c:ptCount val="15"/>
                <c:pt idx="0">
                  <c:v>מדדים</c:v>
                </c:pt>
                <c:pt idx="1">
                  <c:v>קריפטו</c:v>
                </c:pt>
                <c:pt idx="2">
                  <c:v>טכנולוגיה</c:v>
                </c:pt>
                <c:pt idx="3">
                  <c:v>פיננסים</c:v>
                </c:pt>
                <c:pt idx="4">
                  <c:v>דיבידנדים</c:v>
                </c:pt>
                <c:pt idx="5">
                  <c:v>שבבים</c:v>
                </c:pt>
                <c:pt idx="6">
                  <c:v>חומרה</c:v>
                </c:pt>
                <c:pt idx="7">
                  <c:v>תשתיות מידע</c:v>
                </c:pt>
                <c:pt idx="8">
                  <c:v>טכנולוגיות קוונטיות</c:v>
                </c:pt>
                <c:pt idx="9">
                  <c:v>קמעונאות</c:v>
                </c:pt>
                <c:pt idx="10">
                  <c:v>שירותי תקשורת</c:v>
                </c:pt>
                <c:pt idx="11">
                  <c:v>תחבורה</c:v>
                </c:pt>
                <c:pt idx="12">
                  <c:v>בריאות</c:v>
                </c:pt>
                <c:pt idx="13">
                  <c:v>תרופות</c:v>
                </c:pt>
                <c:pt idx="14">
                  <c:v>נשק</c:v>
                </c:pt>
              </c:strCache>
            </c:strRef>
          </c:cat>
          <c:val>
            <c:numRef>
              <c:f>גיליון1!$C$21:$C$35</c:f>
              <c:numCache>
                <c:formatCode>0%</c:formatCode>
                <c:ptCount val="15"/>
                <c:pt idx="0">
                  <c:v>0.24249916776074004</c:v>
                </c:pt>
                <c:pt idx="1">
                  <c:v>0.1057722570875633</c:v>
                </c:pt>
                <c:pt idx="2">
                  <c:v>0.10332931806710023</c:v>
                </c:pt>
                <c:pt idx="3">
                  <c:v>3.0101699941402778E-2</c:v>
                </c:pt>
                <c:pt idx="4">
                  <c:v>2.3104598990074578E-2</c:v>
                </c:pt>
                <c:pt idx="5">
                  <c:v>9.5909815254501513E-2</c:v>
                </c:pt>
                <c:pt idx="6">
                  <c:v>9.3264772474740531E-3</c:v>
                </c:pt>
                <c:pt idx="7">
                  <c:v>7.6019859929298009E-2</c:v>
                </c:pt>
                <c:pt idx="8">
                  <c:v>3.7840515255205681E-2</c:v>
                </c:pt>
                <c:pt idx="9">
                  <c:v>0.10825065541634324</c:v>
                </c:pt>
                <c:pt idx="10">
                  <c:v>0.12439772346951175</c:v>
                </c:pt>
                <c:pt idx="11">
                  <c:v>2.377031890750729E-2</c:v>
                </c:pt>
                <c:pt idx="12">
                  <c:v>2.1051176182039798E-2</c:v>
                </c:pt>
                <c:pt idx="13">
                  <c:v>1.1666255417329787E-2</c:v>
                </c:pt>
                <c:pt idx="14">
                  <c:v>7.2792741165029163E-3</c:v>
                </c:pt>
              </c:numCache>
            </c:numRef>
          </c:val>
          <c:extLst>
            <c:ext xmlns:c16="http://schemas.microsoft.com/office/drawing/2014/chart" uri="{C3380CC4-5D6E-409C-BE32-E72D297353CC}">
              <c16:uniqueId val="{00000001-12DC-4080-8BCF-9811D84D0CE8}"/>
            </c:ext>
          </c:extLst>
        </c:ser>
        <c:dLbls>
          <c:showLegendKey val="0"/>
          <c:showVal val="0"/>
          <c:showCatName val="0"/>
          <c:showSerName val="0"/>
          <c:showPercent val="0"/>
          <c:showBubbleSize val="0"/>
          <c:showLeaderLines val="1"/>
        </c:dLbls>
      </c:pie3D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Open Sans Hebrew" panose="00000500000000000000" pitchFamily="2" charset="-79"/>
              <a:ea typeface="+mn-ea"/>
              <a:cs typeface="Open Sans Hebrew" panose="00000500000000000000" pitchFamily="2" charset="-79"/>
            </a:defRPr>
          </a:pPr>
          <a:endParaRPr lang="LID4096"/>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latin typeface="Open Sans Hebrew" panose="00000500000000000000" pitchFamily="2" charset="-79"/>
          <a:cs typeface="Open Sans Hebrew" panose="00000500000000000000" pitchFamily="2" charset="-79"/>
        </a:defRPr>
      </a:pPr>
      <a:endParaRPr lang="LID4096"/>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6">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30255</xdr:colOff>
      <xdr:row>38</xdr:row>
      <xdr:rowOff>32775</xdr:rowOff>
    </xdr:from>
    <xdr:to>
      <xdr:col>6</xdr:col>
      <xdr:colOff>66114</xdr:colOff>
      <xdr:row>58</xdr:row>
      <xdr:rowOff>165566</xdr:rowOff>
    </xdr:to>
    <xdr:graphicFrame macro="">
      <xdr:nvGraphicFramePr>
        <xdr:cNvPr id="7" name="תרשים 6">
          <a:extLst>
            <a:ext uri="{FF2B5EF4-FFF2-40B4-BE49-F238E27FC236}">
              <a16:creationId xmlns:a16="http://schemas.microsoft.com/office/drawing/2014/main" id="{D033C10B-7504-14BE-B28C-7A4C31BD1EE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imageurl">
      <keyFlags>
        <key name="Blip Identifier">
          <flag name="ShowInCardView" value="0"/>
        </key>
      </keyFlags>
    </type>
    <type name="_linkedentity">
      <keyFlags>
        <key name="%cvi">
          <flag name="ShowInCardView" value="0"/>
          <flag name="ShowInDotNotation" value="0"/>
          <flag name="ShowInAutoComplete" value="0"/>
          <flag name="ExcludeFromCalcComparison" value="1"/>
        </key>
      </keyFlags>
    </type>
    <type name="_linkedentitycore">
      <keyFlags>
        <key name="%EntityServiceId">
          <flag name="ShowInCardView" value="0"/>
          <flag name="ShowInDotNotation" value="0"/>
          <flag name="ShowInAutoComplete" value="0"/>
        </key>
        <key name="%EntitySubDomain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DotNotation"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s>
</rvTypesInfo>
</file>

<file path=xl/richData/rdrichvalue.xml><?xml version="1.0" encoding="utf-8"?>
<rvData xmlns="http://schemas.microsoft.com/office/spreadsheetml/2017/richdata" count="134">
  <rv s="0">
    <v>https://www.bing.com/financeapi/forcetrigger?t=c438im&amp;q=XNAS%3aIREN&amp;form=skydnc</v>
    <v>Learn more on Bing</v>
  </rv>
  <rv s="1">
    <v>en-US</v>
    <v>c438im</v>
    <v>268435456</v>
    <v>1</v>
    <v>Powered by Refinitiv</v>
    <v>0</v>
    <v>IREN LIMITED (XNAS:IREN)</v>
    <v>2</v>
    <v>3</v>
    <v>Finance</v>
    <v>4</v>
    <v>76.87</v>
    <v>5.125</v>
    <v>4.3247999999999998</v>
    <v>-0.505</v>
    <v>-1.2586E-2</v>
    <v>USD</v>
    <v>IREN Limited is an Australia-based company, which owns and operates data centers powered by 100% renewable energy. Its facilities are optimized for Bitcoin mining, artificial intelligence (AI) cloud services, and other power-dense compute. Its data center mining facilities are in Canal Flats, Mackenzie, Prince George and Childress. Bitcoin Mining provides security to the Bitcoin network. Al Cloud Services provides cloud compute to Al customers, approximately 1,896 NVIDIA H100 and H200 GPUs. Its Canal Flats facility is in the Canadian Rockies, 100 kilometers (km) from Cranbrook regional airport and 500km east of Vancouver. Its facility is in Prince George, the city in northern British Columbia, located 500 km north of Vancouver. Its facility is located in Childress County, Texas, over 250 miles northwest of Dallas and in close proximity to multiple wind and solar generating facilities in the region. Its Childress operations comprise 200 Mega Watt of operating data centers.</v>
    <v>257</v>
    <v>Nasdaq Stock Market</v>
    <v>XNAS</v>
    <v>XNAS</v>
    <v>Level 6, 55 Market Street, SYDNEY, NEW SOUTH WALES, 2000 AU</v>
    <v>39.870100000000001</v>
    <v>Financial Technology (Fintech) &amp; Infrastructure</v>
    <v>Stock</v>
    <v>46087.645559803124</v>
    <v>0</v>
    <v>38.200000000000003</v>
    <v>15807908521</v>
    <v>IREN LIMITED</v>
    <v>IREN LIMITED</v>
    <v>38.92</v>
    <v>52.574300000000001</v>
    <v>40.125</v>
    <v>39.619999999999997</v>
    <v>398988100</v>
    <v>IREN</v>
    <v>IREN LIMITED (XNAS:IREN)</v>
    <v>8627604</v>
    <v>40607444</v>
    <v>2018</v>
  </rv>
  <rv s="2">
    <v>1</v>
  </rv>
  <rv s="3">
    <v>en-US</v>
    <v>avyoh7</v>
    <v>268435456</v>
    <v>1</v>
    <v>Powered by Refinitiv</v>
    <v>5</v>
    <v>USD/ILS</v>
    <v>6</v>
    <v>7</v>
    <v>Finance</v>
    <v>8</v>
    <v>3.8363</v>
    <v>3.05</v>
    <v>2.0999999999999999E-3</v>
    <v>6.8019999999999995E-4</v>
    <v>ILS</v>
    <v>USD</v>
    <v>3.1076000000000001</v>
    <v>Currency Pair</v>
    <v>46087.645555555559</v>
    <v>3.0714999999999999</v>
    <v>US Dollar/Israeli Shekel FX Spot Rate</v>
    <v>3.0865</v>
    <v>3.0874000000000001</v>
    <v>3.0895000000000001</v>
    <v>USDILS</v>
    <v>USD/ILS</v>
  </rv>
  <rv s="2">
    <v>3</v>
  </rv>
  <rv s="0">
    <v>https://www.bing.com/financeapi/forcetrigger?t=a25dp2&amp;q=BATS%3aVIXY&amp;form=skydnc</v>
    <v>Learn more on Bing</v>
  </rv>
  <rv s="4">
    <v>en-US</v>
    <v>a25dp2</v>
    <v>268435456</v>
    <v>1</v>
    <v>Powered by Refinitiv</v>
    <v>9</v>
    <v>ProShs II:VIX ST Fut (BATS:VIXY)</v>
    <v>10</v>
    <v>11</v>
    <v>Finance</v>
    <v>12</v>
    <v>89.144900000000007</v>
    <v>24.81</v>
    <v>-2.8016000000000001</v>
    <v>2.15</v>
    <v>7.084E-2</v>
    <v>USD</v>
    <v>CBOE BZX Exchange</v>
    <v>BATS</v>
    <v>1.09E-2</v>
    <v>33.380000000000003</v>
    <v>ETF</v>
    <v>46087.64553587891</v>
    <v>5</v>
    <v>32.405000000000001</v>
    <v>242680183.94999999</v>
    <v>ProShs II:VIX ST Fut</v>
    <v>32.76</v>
    <v>30.35</v>
    <v>32.5</v>
    <v>VIXY</v>
    <v>ProShs II:VIX ST Fut (BATS:VIXY)</v>
    <v>3251990</v>
    <v>4730542</v>
  </rv>
  <rv s="2">
    <v>6</v>
  </rv>
  <rv s="0">
    <v>https://www.bing.com/financeapi/forcetrigger?t=a26dyc&amp;q=XNAS%3aYNDX&amp;form=skydnc</v>
    <v>Learn more on Bing</v>
  </rv>
  <rv s="1">
    <v>en-US</v>
    <v>a26dyc</v>
    <v>268435456</v>
    <v>1</v>
    <v>Powered by Refinitiv</v>
    <v>0</v>
    <v>Nebius Group NV (XNAS:NBIS)</v>
    <v>2</v>
    <v>3</v>
    <v>Finance</v>
    <v>4</v>
    <v>141.1</v>
    <v>18.309999999999999</v>
    <v>-13.31</v>
    <v>-1.24</v>
    <v>-1.2964E-2</v>
    <v>USD</v>
    <v>Nebius Group NV is a Netherlands-based infrastructure company operating in the technology industry. The Company is engaged in developing a portfolio of artificial intelligence-related technology assets. It is involved in creating an artificial intelligence-centric player to integrate the essential elements of artificial intelligence development with infrastructure, data and advisory globally. It offers products and services such as a cloud platform for artificial intelligence-related workloads, development team services for autonomous vehicles, development of generative artificial intelligence. Nebius builds full-stack infrastructure to service the growth of the global AI industry, including GPU clusters, cloud platforms and tools and services for developers. Company is developing three other businesses that operate under their own brands: Toloka AI, TripleTen and Avride.</v>
    <v>1371</v>
    <v>Nasdaq Stock Market</v>
    <v>XNAS</v>
    <v>XNAS</v>
    <v>Schiphol Boulevard 165, SCHIPHOL, NOORD-HOLLAND, 1118BG NL</v>
    <v>94.88</v>
    <v>Professional &amp; Commercial Services</v>
    <v>Stock</v>
    <v>46087.645517892968</v>
    <v>8</v>
    <v>91.13</v>
    <v>23887334970</v>
    <v>Nebius Group NV</v>
    <v>Nebius Group NV</v>
    <v>92.3</v>
    <v>566.68669999999997</v>
    <v>95.65</v>
    <v>94.41</v>
    <v>253017000</v>
    <v>NBIS</v>
    <v>Nebius Group NV (XNAS:NBIS)</v>
    <v>2146072</v>
    <v>13791294</v>
    <v>2004</v>
  </rv>
  <rv s="2">
    <v>9</v>
  </rv>
  <rv s="5">
    <v>en-US</v>
    <v>cgblqh</v>
    <v>268435456</v>
    <v>1</v>
    <v>Powered by Refinitiv</v>
    <v>13</v>
    <v>COREWEAVE, INC. (XNAS:CRWV)</v>
    <v>14</v>
    <v>15</v>
    <v>Finance</v>
    <v>4</v>
    <v>187</v>
    <v>33.515000000000001</v>
    <v>2.3039999999999998</v>
    <v>0.83</v>
    <v>1.1092999999999999E-2</v>
    <v>USD</v>
    <v>CoreWeave, Inc. is a cloud infrastructure technology company. The Company offers the CoreWeave Cloud Platform, which consists of software and cloud services that deliver the automation and efficiency needed to manage complex artificial intelligence (AI) infrastructure. Its CoreWeave Cloud Platform is an integrated solution that is purpose-built for running AI workloads such as model training and inference. Its solutions include infrastructure services, managed software services, and application software services. Its Infrastructure Services provide its customers with access to advanced graphics processing unit (GPU) and central processing unit (CPU) compute, highly performant networking, and storage. Its Managed Software Services include CKS, a flexible virtual private cloud and a bare metal service that runs kubernetes directly on high-performance servers. Its Application Software Services build on top of its infrastructure and managed software services, integrating additional tools.</v>
    <v>Nasdaq Stock Market</v>
    <v>XNAS</v>
    <v>XNAS</v>
    <v>290 W. Mt. Pleasant Avenue, Suite 4100, LIVINGSTON, NJ, 07039 US</v>
    <v>76.13</v>
    <v>Software &amp; IT Services</v>
    <v>Stock</v>
    <v>46087.645558460157</v>
    <v>71.86</v>
    <v>39768304765</v>
    <v>COREWEAVE, INC.</v>
    <v>COREWEAVE, INC.</v>
    <v>72.989999999999995</v>
    <v>0</v>
    <v>74.819999999999993</v>
    <v>75.650000000000006</v>
    <v>525688100</v>
    <v>CRWV</v>
    <v>COREWEAVE, INC. (XNAS:CRWV)</v>
    <v>7248325</v>
    <v>25779138</v>
    <v>2017</v>
  </rv>
  <rv s="2">
    <v>11</v>
  </rv>
  <rv s="0">
    <v>https://www.bing.com/financeapi/forcetrigger?t=bwvem7&amp;q=XNAS%3aABNB&amp;form=skydnc</v>
    <v>Learn more on Bing</v>
  </rv>
  <rv s="1">
    <v>en-US</v>
    <v>bwvem7</v>
    <v>268435456</v>
    <v>1</v>
    <v>Powered by Refinitiv</v>
    <v>0</v>
    <v>AIRBNB, INC. (XNAS:ABNB)</v>
    <v>2</v>
    <v>3</v>
    <v>Finance</v>
    <v>4</v>
    <v>143.87989999999999</v>
    <v>99.88</v>
    <v>1.1594</v>
    <v>-4.0350000000000001</v>
    <v>-2.9702000000000003E-2</v>
    <v>USD</v>
    <v>Airbnb, Inc. operates a global platform for stays and experiences. The Company’s marketplace model connects hosts and guests online or through mobile devices to book spaces and experiences around the world. The Company has built its platform to onboard new hosts, especially those who previously had not considered hosting. It partners with hosts throughout the process of setting up their listing and provides them with a suite of tools to manage their listings, including scheduling, merchandising, integrated payments, community support, host protection, pricing guidance, and feedback from reviews. Its Website and mobile applications provide its guests with a way to explore a variety of homes and experiences and an easy way to book them. Its technology platform powers its two-sided marketplace and enables its global network of hosts and guests. It owns a trademark portfolio with protection in 220 countries in which it operates for its primary brands, AIRBNB, and its Belo logo.</v>
    <v>8200</v>
    <v>Nasdaq Stock Market</v>
    <v>XNAS</v>
    <v>XNAS</v>
    <v>888 Brannan St., SAN FRANCISCO, CA, 94103 US</v>
    <v>133.9</v>
    <v>Software &amp; IT Services</v>
    <v>Stock</v>
    <v>46087.645535080468</v>
    <v>13</v>
    <v>130.97499999999999</v>
    <v>80237635910</v>
    <v>AIRBNB, INC.</v>
    <v>AIRBNB, INC.</v>
    <v>133.88999999999999</v>
    <v>32.625100000000003</v>
    <v>135.85</v>
    <v>131.815</v>
    <v>608714000</v>
    <v>ABNB</v>
    <v>AIRBNB, INC. (XNAS:ABNB)</v>
    <v>580764</v>
    <v>5774669</v>
    <v>2008</v>
  </rv>
  <rv s="2">
    <v>14</v>
  </rv>
  <rv s="0">
    <v>https://www.bing.com/financeapi/forcetrigger?t=a21icw&amp;q=XNAS%3aPYPL&amp;form=skydnc</v>
    <v>Learn more on Bing</v>
  </rv>
  <rv s="1">
    <v>en-US</v>
    <v>a21icw</v>
    <v>268435456</v>
    <v>1</v>
    <v>Powered by Refinitiv</v>
    <v>0</v>
    <v>PAYPAL HOLDINGS, INC. (XNAS:PYPL)</v>
    <v>2</v>
    <v>3</v>
    <v>Finance</v>
    <v>4</v>
    <v>79.5</v>
    <v>38.46</v>
    <v>1.4468000000000001</v>
    <v>-0.87</v>
    <v>-1.8262E-2</v>
    <v>USD</v>
    <v>PayPal Holdings, Inc. offers a technology platform. The Company’s products are designed to enable digital payments and simplify commerce experiences for consumers and merchants to make selling, shopping, and sending and receiving money simple, personalized, and secure, online or offline, including mobile. It provides consumers with a digital wallet that enables them to send payments to merchants securely using a variety of funding sources, which include a bank account, a PayPal or Venmo account balance, its consumer credit products, a credit card, a debit card, certain cryptocurrencies, or other stored value products. It operates a global, two-sided network at scale that connects consumers and merchants with 434 million active accounts across approximately 200 markets. Its brands include PayPal, Braintree, Venmo, Xoom, Hyperwallet, PayPal Zettle, PayPal Honey, and Paidy. It offers financing products through the PayPal Working Capital (PPWC) and PayPal Business Loan (PPBL).</v>
    <v>23800</v>
    <v>Nasdaq Stock Market</v>
    <v>XNAS</v>
    <v>XNAS</v>
    <v>2211 N 1st St, SAN JOSE, CA, 95131 US</v>
    <v>47.73</v>
    <v>Professional &amp; Commercial Services</v>
    <v>Stock</v>
    <v>46087.645559525001</v>
    <v>16</v>
    <v>46.354999999999997</v>
    <v>43059483342</v>
    <v>PAYPAL HOLDINGS, INC.</v>
    <v>PAYPAL HOLDINGS, INC.</v>
    <v>47.23</v>
    <v>8.6279000000000003</v>
    <v>47.64</v>
    <v>46.77</v>
    <v>920664600</v>
    <v>PYPL</v>
    <v>PAYPAL HOLDINGS, INC. (XNAS:PYPL)</v>
    <v>4389219</v>
    <v>34957611</v>
    <v>2015</v>
  </rv>
  <rv s="2">
    <v>17</v>
  </rv>
  <rv s="0">
    <v>https://www.bing.com/financeapi/forcetrigger?t=c2mtww&amp;q=XNAS%3aHOOD&amp;form=skydnc</v>
    <v>Learn more on Bing</v>
  </rv>
  <rv s="1">
    <v>en-US</v>
    <v>c2mtww</v>
    <v>268435456</v>
    <v>1</v>
    <v>Powered by Refinitiv</v>
    <v>0</v>
    <v>ROBINHOOD MARKETS, INC. (XNAS:HOOD)</v>
    <v>2</v>
    <v>3</v>
    <v>Finance</v>
    <v>4</v>
    <v>153.85990000000001</v>
    <v>29.66</v>
    <v>2.468</v>
    <v>-2.54</v>
    <v>-3.1529000000000001E-2</v>
    <v>USD</v>
    <v>Robinhood Markets, Inc. is creating a financial services platform for everyone, regardless of their wealth, income, or background. It uses technology to provide access to the financial system. Its offerings include Brokerage, Robinhood Crypto, Custody, Robinhood Wallet, Robinhood Gold, and Robinhood Gold Card. Its Brokerage services include investing, options trading, fractional trading, recurring investment, access to investing on margin, fully paid securities lending, cash sweep, instant withdrawals, Robinhood retirement, 24-hour market, joint investing accounts, and event contracts. It also offers a variety of ways for its customers to grow their financial knowledge, including Robinhood Learn, In-App Education, Newsfeeds, Sherwood Snacks, and Crypto Learn and Earn. Its self-clearing system, order routing system, data platform, and other back-end infrastructure deliver the capabilities that allow its customers to focus on investing, saving and spending.</v>
    <v>2900</v>
    <v>Nasdaq Stock Market</v>
    <v>XNAS</v>
    <v>XNAS</v>
    <v>85 Willow Road, MENLO PARK, CA, 94025 US</v>
    <v>78.48</v>
    <v>Financial Technology (Fintech) &amp; Infrastructure</v>
    <v>Stock</v>
    <v>46087.645559062497</v>
    <v>19</v>
    <v>76.38</v>
    <v>70242061368</v>
    <v>ROBINHOOD MARKETS, INC.</v>
    <v>ROBINHOOD MARKETS, INC.</v>
    <v>77.91</v>
    <v>43.645099999999999</v>
    <v>80.56</v>
    <v>78.02</v>
    <v>900308400</v>
    <v>HOOD</v>
    <v>ROBINHOOD MARKETS, INC. (XNAS:HOOD)</v>
    <v>10563541</v>
    <v>37973010</v>
    <v>2013</v>
  </rv>
  <rv s="2">
    <v>20</v>
  </rv>
  <rv s="0">
    <v>https://www.bing.com/financeapi/forcetrigger?t=a1ndww&amp;q=XNAS%3aAMD&amp;form=skydnc</v>
    <v>Learn more on Bing</v>
  </rv>
  <rv s="1">
    <v>en-US</v>
    <v>a1ndww</v>
    <v>268435456</v>
    <v>1</v>
    <v>Powered by Refinitiv</v>
    <v>0</v>
    <v>ADVANCED MICRO DEVICES, INC. (XNAS:AMD)</v>
    <v>2</v>
    <v>3</v>
    <v>Finance</v>
    <v>4</v>
    <v>267.07990000000001</v>
    <v>76.48</v>
    <v>2.0215000000000001</v>
    <v>-1.36</v>
    <v>-6.8189999999999995E-3</v>
    <v>USD</v>
    <v>Advanced Micro Devices, Inc. is a global semiconductor company. The Company is focused on high-performance computing, graphics and visualization technologies. Its segments include Data Center, Client and Gaming, and Embedded. Data Center segment includes artificial intelligence (AI) accelerators, microprocessors (CPUs) for servers, graphics processing units (GPUs), accelerated processing units (APUs), data processing units (DPUs), Field Programmable Gate Arrays (FPGAs), smart network interface Cards (SmartNICs) and Adaptive system-on-Chip (SoC) products for data centers. Client and Gaming segment includes CPUs, APUs, chipsets for desktops and notebooks, discrete GPUs, and semi-custom SoC products and development services. Embedded segment includes embedded CPUs, GPUs, APUs, FPGAs, system on modules (SOMs), and Adaptive SoC products. It markets and sells its products under the AMD trademark. Its products include AMD EPYC, AMD Ryzen, AMD Ryzen PRO, Virtex UltraScale+, and others.</v>
    <v>31000</v>
    <v>Nasdaq Stock Market</v>
    <v>XNAS</v>
    <v>XNAS</v>
    <v>2485 Augustine Drive, SANTA CLARA, CA, 95054 US</v>
    <v>198.88</v>
    <v>Semiconductors &amp; Semiconductor Equipment</v>
    <v>Stock</v>
    <v>46087.645557175783</v>
    <v>22</v>
    <v>194.95</v>
    <v>322968114990</v>
    <v>ADVANCED MICRO DEVICES, INC.</v>
    <v>ADVANCED MICRO DEVICES, INC.</v>
    <v>195.2</v>
    <v>76.059700000000007</v>
    <v>199.45</v>
    <v>198.09</v>
    <v>1630411000</v>
    <v>AMD</v>
    <v>ADVANCED MICRO DEVICES, INC. (XNAS:AMD)</v>
    <v>6733000</v>
    <v>41666317</v>
    <v>1969</v>
  </rv>
  <rv s="2">
    <v>23</v>
  </rv>
  <rv s="0">
    <v>https://www.bing.com/financeapi/forcetrigger?t=bvsk7w&amp;q=XNYS%3aPLTR&amp;form=skydnc</v>
    <v>Learn more on Bing</v>
  </rv>
  <rv s="1">
    <v>en-US</v>
    <v>bvsk7w</v>
    <v>268435456</v>
    <v>1</v>
    <v>Powered by Refinitiv</v>
    <v>0</v>
    <v>PALANTIR TECHNOLOGIES INC. (XNAS:PLTR)</v>
    <v>2</v>
    <v>3</v>
    <v>Finance</v>
    <v>4</v>
    <v>207.52</v>
    <v>66.12</v>
    <v>1.7245999999999999</v>
    <v>2.23</v>
    <v>1.4607000000000002E-2</v>
    <v>USD</v>
    <v>Palantir Technologies Inc. is engaged in building software to assist in counterterrorism investigations and operations. The Company has built four principal software platforms, including Palantir Gotham (Gotham), Palantir Foundry (Foundry), Palantir Apollo (Apollo), and Palantir Artificial Intelligence Platform (AIP). Apollo is a cloud-agnostic, single control layer that coordinates ongoing delivery of new features, security updates, and platform configurations, helping to ensure the continuous operation of critical systems. Gotham enables users to identify patterns hidden deep within datasets, ranging from signals intelligence sources to reports from confidential informants. Foundry transforms the ways organizations operate by creating a central operating system for their data. AIP enables responsible artificial intelligence (AI)-advantage across the enterprise by using primary, core components built to effectively activate large language models and other AI within any organization.</v>
    <v>4429</v>
    <v>Nasdaq Stock Market</v>
    <v>XNAS</v>
    <v>XNAS</v>
    <v>1200 17Th Street, Floor 15, DENVER, CO, 80202 US</v>
    <v>155.23990000000001</v>
    <v>Software &amp; IT Services</v>
    <v>Stock</v>
    <v>46087.645558992968</v>
    <v>25</v>
    <v>150.2963</v>
    <v>370314937900</v>
    <v>PALANTIR TECHNOLOGIES INC.</v>
    <v>PALANTIR TECHNOLOGIES INC.</v>
    <v>150.44</v>
    <v>244.7851</v>
    <v>152.66999999999999</v>
    <v>154.9</v>
    <v>2390671000</v>
    <v>PLTR</v>
    <v>PALANTIR TECHNOLOGIES INC. (XNAS:PLTR)</v>
    <v>13992281</v>
    <v>62609271</v>
    <v>2003</v>
  </rv>
  <rv s="2">
    <v>26</v>
  </rv>
  <rv s="0">
    <v>https://www.bing.com/financeapi/forcetrigger?t=a1qc1h&amp;q=XNYS%3aCRM&amp;form=skydnc</v>
    <v>Learn more on Bing</v>
  </rv>
  <rv s="1">
    <v>en-US</v>
    <v>a1qc1h</v>
    <v>268435456</v>
    <v>1</v>
    <v>Powered by Refinitiv</v>
    <v>0</v>
    <v>SALESFORCE, INC. (XNYS:CRM)</v>
    <v>2</v>
    <v>3</v>
    <v>Finance</v>
    <v>4</v>
    <v>298.08</v>
    <v>174.57</v>
    <v>1.2986</v>
    <v>-1.67</v>
    <v>-8.2920000000000008E-3</v>
    <v>USD</v>
    <v>Salesforce, Inc. is a provider of customer relationship management (CRM) technology. The Company helps organizations of any size reimagine their business for the world of artificial intelligence (AI). With Agentforce, its platform, organizations can bring humans together with AI agents to drive customer success on one deeply unified platform. With the Salesforce platform, it delivers a single source of truth, connecting customer data with integrated AI across systems, apps and devices to help companies sell, service, market and conduct commerce from anywhere. Agentforce is a new layer of the Salesforce platform that enables companies to build and deploy AI agents that can respond to inputs, make decisions and take action autonomously across business functions. Agentforce includes a suite of customizable agents for use across sales, service, marketing and commerce. Datablazer is a data-driven innovator, which leverages the Company’s platform to unlock insights and drive decisions.</v>
    <v>83334</v>
    <v>New York Stock Exchange</v>
    <v>XNYS</v>
    <v>XNYS</v>
    <v>SALESFORCE TOWER, 415 MISSION STREET 3RD FL, SAN FRANCISCO, CA, 94105 US</v>
    <v>202.48</v>
    <v>Software &amp; IT Services</v>
    <v>Stock</v>
    <v>46087.645550103909</v>
    <v>28</v>
    <v>197.37</v>
    <v>184341560000</v>
    <v>SALESFORCE, INC.</v>
    <v>SALESFORCE, INC.</v>
    <v>201.79</v>
    <v>25.5776</v>
    <v>201.39</v>
    <v>199.72</v>
    <v>923000000</v>
    <v>CRM</v>
    <v>SALESFORCE, INC. (XNYS:CRM)</v>
    <v>2008761</v>
    <v>15216643</v>
    <v>1999</v>
  </rv>
  <rv s="2">
    <v>29</v>
  </rv>
  <rv s="0">
    <v>https://www.bing.com/financeapi/forcetrigger?t=ao7ia2&amp;q=XLON%3aCSPX&amp;form=skydnc</v>
    <v>Learn more on Bing</v>
  </rv>
  <rv s="6">
    <v>en-US</v>
    <v>ao7ia2</v>
    <v>268435456</v>
    <v>1</v>
    <v>Powered by Refinitiv</v>
    <v>16</v>
    <v>iShs Cr S&amp;P 500 ETF USD A (XLON:CSPX)</v>
    <v>10</v>
    <v>17</v>
    <v>Finance</v>
    <v>18</v>
    <v>888.76</v>
    <v>512.77</v>
    <v>0.99950000000000006</v>
    <v>-8.15</v>
    <v>-1.1139E-2</v>
    <v>USD</v>
    <v>London Stock Exchange</v>
    <v>XLON</v>
    <v>7.000000000000001E-4</v>
    <v>734.29</v>
    <v>ETF</v>
    <v>46087.635017048437</v>
    <v>31</v>
    <v>720.24</v>
    <v>134372246115.47</v>
    <v>iShs Cr S&amp;P 500 ETF USD A</v>
    <v>734.29</v>
    <v>731.64</v>
    <v>723.49</v>
    <v>CSPX</v>
    <v>iShs Cr S&amp;P 500 ETF USD A (XLON:CSPX)</v>
    <v>81601</v>
  </rv>
  <rv s="2">
    <v>32</v>
  </rv>
  <rv s="0">
    <v>https://www.bing.com/financeapi/forcetrigger?t=bptw77&amp;q=XNYS%3aUBER&amp;form=skydnc</v>
    <v>Learn more on Bing</v>
  </rv>
  <rv s="1">
    <v>en-US</v>
    <v>bptw77</v>
    <v>268435456</v>
    <v>1</v>
    <v>Powered by Refinitiv</v>
    <v>0</v>
    <v>UBER TECHNOLOGIES, INC. (XNYS:UBER)</v>
    <v>2</v>
    <v>3</v>
    <v>Finance</v>
    <v>4</v>
    <v>101.99</v>
    <v>60.63</v>
    <v>1.2129000000000001</v>
    <v>-0.51</v>
    <v>-6.7600000000000004E-3</v>
    <v>USD</v>
    <v>Uber Technologies, Inc. operates a technology platform that uses network and technology to power movement from point A to point B. It develops and operates technology applications supporting a variety of offerings on its platform (platform(s)). Its segments include Mobility, Delivery and Freight. Mobility products connect consumers with drivers who provide rides in a variety of vehicles, such as cars, auto rickshaws, motorbikes, minibuses, or taxis. Delivery offerings allow consumers to search for and discover local restaurants, order a meal, and either pick-up at the restaurant or have the meal delivered. In certain markets, the Delivery segment provides offerings for grocery, alcohol, and convenience store delivery as well as select other goods. The Freight segment connects carriers with shippers on its platform, and gives carriers upfront, pricing and the ability to book a shipment. The Freight segment also includes transportation management and other logistics service offerings.</v>
    <v>34000</v>
    <v>New York Stock Exchange</v>
    <v>XNYS</v>
    <v>XNYS</v>
    <v>1725 3Rd Street, SAN FRANCISCO, CA, 94158 US</v>
    <v>75.19</v>
    <v>Software &amp; IT Services</v>
    <v>Stock</v>
    <v>46087.645539212499</v>
    <v>34</v>
    <v>74.19</v>
    <v>154214631880</v>
    <v>UBER TECHNOLOGIES, INC.</v>
    <v>UBER TECHNOLOGIES, INC.</v>
    <v>74.569999999999993</v>
    <v>15.824</v>
    <v>75.44</v>
    <v>74.930000000000007</v>
    <v>2058116000</v>
    <v>UBER</v>
    <v>UBER TECHNOLOGIES, INC. (XNYS:UBER)</v>
    <v>2746235</v>
    <v>24401255</v>
    <v>2010</v>
  </rv>
  <rv s="2">
    <v>35</v>
  </rv>
  <rv s="0">
    <v>https://www.bing.com/financeapi/forcetrigger?t=c53sz2&amp;q=XTAE%3aIN.FF1&amp;form=skydnc</v>
    <v>Learn more on Bing</v>
  </rv>
  <rv s="7">
    <v>en-US</v>
    <v>c53sz2</v>
    <v>268435456</v>
    <v>1</v>
    <v>Powered by Refinitiv</v>
    <v>19</v>
    <v>INVS&amp;P500UCITSETFAcc (XTAE:IN.FF1)</v>
    <v>10</v>
    <v>20</v>
    <v>Finance</v>
    <v>21</v>
    <v>4550</v>
    <v>3617</v>
    <v>-1</v>
    <v>-2.3720000000000002E-4</v>
    <v>ILa</v>
    <v>Tel Aviv Stock Exchange</v>
    <v>XTAE</v>
    <v>5.0000000000000001E-4</v>
    <v>4214</v>
    <v>ETF</v>
    <v>46087.489583333336</v>
    <v>37</v>
    <v>4197</v>
    <v>50613804197</v>
    <v>INVS&amp;P500UCITSETFAcc</v>
    <v>4211</v>
    <v>4215</v>
    <v>4214</v>
    <v>IN.FF1</v>
    <v>INVS&amp;P500UCITSETFAcc (XTAE:IN.FF1)</v>
    <v>94337</v>
  </rv>
  <rv s="2">
    <v>38</v>
  </rv>
  <rv s="0">
    <v>https://www.bing.com/financeapi/forcetrigger?t=a1yv52&amp;q=XNAS%3aNVDA&amp;form=skydnc</v>
    <v>Learn more on Bing</v>
  </rv>
  <rv s="1">
    <v>en-US</v>
    <v>a1yv52</v>
    <v>268435456</v>
    <v>1</v>
    <v>Powered by Refinitiv</v>
    <v>0</v>
    <v>NVIDIA CORPORATION (XNAS:NVDA)</v>
    <v>2</v>
    <v>3</v>
    <v>Finance</v>
    <v>4</v>
    <v>212.18989999999999</v>
    <v>86.62</v>
    <v>2.3706999999999998</v>
    <v>-1.585</v>
    <v>-8.6449999999999999E-3</v>
    <v>USD</v>
    <v>NVIDIA Corporation is a full-stack computing infrastructure company. The Company is engaged in accelerated computing to help solve the challenging computational problems. The Company’s segments include Compute &amp; Networking and Graphics. The Compute &amp; Networking segment includes its Data Center accelerated computing platforms and artificial intelligence (AI) solutions and software; networking; automotive platforms and autonomous and electric vehicle solutions; Jetson for robotics and other embedded platforms, and DGX Cloud computing services. The Graphics segment includes GeForce GPUs for gaming and PCs, the GeForce NOW game streaming service and related infrastructure, and solutions for gaming platforms; Quadro/NVIDIA RTX GPUs for enterprise workstation graphics; virtual GPU software for cloud-based visual and virtual computing; automotive platforms for infotainment systems, and Omniverse Enterprise software for building and operating industrial AI and digital twin applications.</v>
    <v>42000</v>
    <v>Nasdaq Stock Market</v>
    <v>XNAS</v>
    <v>XNAS</v>
    <v>2788 San Tomas Expressway, SANTA CLARA, CA, 95051 US</v>
    <v>182.7561</v>
    <v>Semiconductors &amp; Semiconductor Equipment</v>
    <v>Stock</v>
    <v>46087.645565613282</v>
    <v>40</v>
    <v>179.64</v>
    <v>4416646500000</v>
    <v>NVIDIA CORPORATION</v>
    <v>NVIDIA CORPORATION</v>
    <v>179.87</v>
    <v>37.0792</v>
    <v>183.34</v>
    <v>181.755</v>
    <v>24300000000</v>
    <v>NVDA</v>
    <v>NVIDIA CORPORATION (XNAS:NVDA)</v>
    <v>42187177</v>
    <v>194416183</v>
    <v>1998</v>
  </rv>
  <rv s="2">
    <v>41</v>
  </rv>
  <rv s="0">
    <v>https://www.bing.com/financeapi/forcetrigger?t=a21mim&amp;q=XNAS%3aQQQ&amp;form=skydnc</v>
    <v>Learn more on Bing</v>
  </rv>
  <rv s="4">
    <v>en-US</v>
    <v>a21mim</v>
    <v>268435456</v>
    <v>1</v>
    <v>Powered by Refinitiv</v>
    <v>9</v>
    <v>Invesco QQQ Trust 1 (XNAS:QQQ)</v>
    <v>10</v>
    <v>11</v>
    <v>Finance</v>
    <v>12</v>
    <v>637.01</v>
    <v>402.39</v>
    <v>0.97199999999999998</v>
    <v>-5.74</v>
    <v>-9.4269999999999996E-3</v>
    <v>USD</v>
    <v>Nasdaq Stock Market</v>
    <v>XNAS</v>
    <v>1.8E-3</v>
    <v>603.79999999999995</v>
    <v>ETF</v>
    <v>46087.645547106251</v>
    <v>43</v>
    <v>598.54</v>
    <v>395032884760.46002</v>
    <v>Invesco QQQ Trust 1</v>
    <v>600.27</v>
    <v>608.91</v>
    <v>603.16999999999996</v>
    <v>QQQ</v>
    <v>Invesco QQQ Trust 1 (XNAS:QQQ)</v>
    <v>23025274</v>
    <v>71403128</v>
  </rv>
  <rv s="2">
    <v>44</v>
  </rv>
  <rv s="8">
    <v>en-US</v>
    <v>cdur9c</v>
    <v>268435456</v>
    <v>1</v>
    <v>Powered by Refinitiv</v>
    <v>22</v>
    <v>SHOPIFY INC. (NEOE:SHOP)</v>
    <v>14</v>
    <v>23</v>
    <v>Finance</v>
    <v>21</v>
    <v>253</v>
    <v>99.56</v>
    <v>2.8757999999999999</v>
    <v>-7.44</v>
    <v>-4.0376000000000002E-2</v>
    <v>CAD</v>
    <v>Shopify Inc. (Shopify) is a Canada-based global commerce company. The Company provides essential Internet infrastructure for commerce, offering tools to start, grow, market and manage a retail business of any size. It provides platforms and services that are engineered and delivers a shopping experience for consumers online, in store and everywhere in between. Its software enables merchants to run their business across all of their sales channels, including Web and mobile storefronts, physical retail locations, social media storefronts, and marketplaces. The Company's Shopify platform provides merchants with a single view of their business across all of their sales channels and enables them to manage products and inventory, process orders and payments, fulfill and ship orders, build customer relationships, source products, leverage analytics and reporting, and access financing, all from one integrated back office. The Shopify's platform operates across 175 countries.</v>
    <v>7600</v>
    <v>NEO Exchange</v>
    <v>NEOE</v>
    <v>NEOE</v>
    <v>151 O'connor Street, Ground Floor, OTTAWA, ON, K2P 2L8 CA</v>
    <v>179.72</v>
    <v>Software &amp; IT Services</v>
    <v>Stock</v>
    <v>46087.639443622655</v>
    <v>175.48</v>
    <v>217980600000</v>
    <v>SHOPIFY INC.</v>
    <v>SHOPIFY INC.</v>
    <v>179.72</v>
    <v>184.27</v>
    <v>176.83</v>
    <v>1304111000</v>
    <v>SHOP</v>
    <v>SHOPIFY INC. (NEOE:SHOP)</v>
    <v>6700</v>
    <v>11598420</v>
    <v>2004</v>
  </rv>
  <rv s="2">
    <v>46</v>
  </rv>
  <rv s="0">
    <v>https://www.bing.com/financeapi/forcetrigger?t=a24kjc&amp;q=XNYS%3aTSM&amp;form=skydnc</v>
    <v>Learn more on Bing</v>
  </rv>
  <rv s="1">
    <v>en-US</v>
    <v>a24kjc</v>
    <v>268435456</v>
    <v>1</v>
    <v>Powered by Refinitiv</v>
    <v>0</v>
    <v>Taiwan Semiconductor Manufacturing Co., Ltd. (XNYS:TSM)</v>
    <v>2</v>
    <v>3</v>
    <v>Finance</v>
    <v>4</v>
    <v>390.20499999999998</v>
    <v>134.25</v>
    <v>1.3394999999999999</v>
    <v>-6.75</v>
    <v>-1.9074999999999998E-2</v>
    <v>USD</v>
    <v>Taiwan Semiconductor Manufacturing Co Ltd is a Taiwan-based integrated circuit foundry service provider. The Company is primarily engaged in integrated circuit manufacturing services. It offers advanced process technologies, specialised process solutions, advanced photomask and silicon stacking, and packaging-related technologies, while supporting a comprehensive design ecosystem. The Company's products serve diverse electronic sectors including artificial intelligence, high-performance computing, wired and wireless communications, automotive and industrial equipment, personal computing, information applications, consumer electronics, smart internet of things, and wearable devices.</v>
    <v>52045</v>
    <v>New York Stock Exchange</v>
    <v>XNYS</v>
    <v>XNYS</v>
    <v>No.8, Li-Hsin 6th Road, Hsinchu Science Park, HSINCHU, HSINCHU, 300 TW</v>
    <v>348.36</v>
    <v>Semiconductors &amp; Semiconductor Equipment</v>
    <v>Stock</v>
    <v>46087.645559525001</v>
    <v>48</v>
    <v>341.6</v>
    <v>1800287750550</v>
    <v>Taiwan Semiconductor Manufacturing Co., Ltd.</v>
    <v>Taiwan Semiconductor Manufacturing Co., Ltd.</v>
    <v>343.9</v>
    <v>32.833300000000001</v>
    <v>353.86</v>
    <v>347.11</v>
    <v>5186505000</v>
    <v>TSM</v>
    <v>Taiwan Semiconductor Manufacturing Co., Ltd. (XNYS:TSM)</v>
    <v>3252269</v>
    <v>13032418</v>
    <v>1987</v>
  </rv>
  <rv s="2">
    <v>49</v>
  </rv>
  <rv s="9">
    <v>en-US</v>
    <v>cc5pdm</v>
    <v>268435456</v>
    <v>1</v>
    <v>Powered by Refinitiv</v>
    <v>24</v>
    <v>iShares Bitcoin Trust (XNAS:IBIT)</v>
    <v>6</v>
    <v>25</v>
    <v>Finance</v>
    <v>12</v>
    <v>71.819999999999993</v>
    <v>35.299999999999997</v>
    <v>-1.3875</v>
    <v>-3.4352999999999995E-2</v>
    <v>USD</v>
    <v>Nasdaq Stock Market</v>
    <v>XNAS</v>
    <v>2.5000000000000001E-3</v>
    <v>39.18</v>
    <v>ETF</v>
    <v>46087.645552568749</v>
    <v>38.630000000000003</v>
    <v>50146574884.489998</v>
    <v>iShares Bitcoin Trust</v>
    <v>39.1</v>
    <v>40.39</v>
    <v>39.002499999999998</v>
    <v>IBIT</v>
    <v>iShares Bitcoin Trust (XNAS:IBIT)</v>
    <v>22185458</v>
    <v>86631369</v>
  </rv>
  <rv s="2">
    <v>51</v>
  </rv>
  <rv s="9">
    <v>en-US</v>
    <v>ce8mrw</v>
    <v>268435456</v>
    <v>1</v>
    <v>Powered by Refinitiv</v>
    <v>24</v>
    <v>iShares Ethereum Trust (XNAS:ETHA)</v>
    <v>6</v>
    <v>25</v>
    <v>Finance</v>
    <v>12</v>
    <v>36.799999999999997</v>
    <v>10.99</v>
    <v>-0.78500000000000003</v>
    <v>-4.9683999999999999E-2</v>
    <v>USD</v>
    <v>Nasdaq Stock Market</v>
    <v>XNAS</v>
    <v>1.1999999999999999E-3</v>
    <v>15.21</v>
    <v>ETF</v>
    <v>46087.645525532032</v>
    <v>14.885</v>
    <v>6065787418.8000002</v>
    <v>iShares Ethereum Trust</v>
    <v>15.17</v>
    <v>15.8</v>
    <v>15.015000000000001</v>
    <v>ETHA</v>
    <v>iShares Ethereum Trust (XNAS:ETHA)</v>
    <v>11408550</v>
    <v>50043445</v>
  </rv>
  <rv s="2">
    <v>53</v>
  </rv>
  <rv s="9">
    <v>en-US</v>
    <v>cg9ar7</v>
    <v>268435456</v>
    <v>1</v>
    <v>Powered by Refinitiv</v>
    <v>24</v>
    <v>Solana (XNAS:SOLZ)</v>
    <v>6</v>
    <v>25</v>
    <v>Finance</v>
    <v>12</v>
    <v>27.12</v>
    <v>7.6829999999999998</v>
    <v>-0.44500000000000001</v>
    <v>-4.9062999999999996E-2</v>
    <v>USD</v>
    <v>Nasdaq Stock Market</v>
    <v>XNAS</v>
    <v>9.4999999999999998E-3</v>
    <v>8.66</v>
    <v>ETF</v>
    <v>46087.644605671092</v>
    <v>8.5299999999999994</v>
    <v>86765368.230000004</v>
    <v>Solana</v>
    <v>8.65</v>
    <v>9.07</v>
    <v>8.625</v>
    <v>SOLZ</v>
    <v>Solana (XNAS:SOLZ)</v>
    <v>735600</v>
    <v>3159406</v>
  </rv>
  <rv s="2">
    <v>55</v>
  </rv>
  <rv s="0">
    <v>https://www.bing.com/financeapi/forcetrigger?t=a1nhlh&amp;q=XNAS%3aAMZN&amp;form=skydnc</v>
    <v>Learn more on Bing</v>
  </rv>
  <rv s="1">
    <v>en-US</v>
    <v>a1nhlh</v>
    <v>268435456</v>
    <v>1</v>
    <v>Powered by Refinitiv</v>
    <v>0</v>
    <v>AMAZON.COM, INC. (XNAS:AMZN)</v>
    <v>2</v>
    <v>3</v>
    <v>Finance</v>
    <v>4</v>
    <v>258.60000000000002</v>
    <v>161.38</v>
    <v>1.4111</v>
    <v>-3.9901</v>
    <v>-1.8225000000000002E-2</v>
    <v>USD</v>
    <v>Amazon.com, Inc. provides a range of products and services to customers. The products offered through its stores include merchandise and content it has purchased for resale and products offered by third-party sellers. The Company’s segments include North America, International and Amazon Web Services (AWS). It serves consumers through its online and physical stores and focuses on selection, price, and convenience. Customers access its offerings through its websites, mobile apps, Alexa, devices, streaming, and physically visiting its stores. It also manufactures and sells electronic devices, including Kindle, Fire tablet, Fire TV, Echo, Ring, Blink, and eero, and develops and produces media content. It serves developers and enterprises of all sizes, including start-ups, government agencies, and academic institutions, through AWS, which offers a set of on-demand technology services, including compute, storage, database, analytics, and machine learning, and other services.</v>
    <v>1576000</v>
    <v>Nasdaq Stock Market</v>
    <v>XNAS</v>
    <v>XNAS</v>
    <v>410 Terry Avenue North, SEATTLE, WA, 98109 US</v>
    <v>217.32</v>
    <v>Diversified Retail</v>
    <v>Stock</v>
    <v>46087.645551816408</v>
    <v>57</v>
    <v>214.2</v>
    <v>2307469980508</v>
    <v>AMAZON.COM, INC.</v>
    <v>AMAZON.COM, INC.</v>
    <v>215.55</v>
    <v>29.969899999999999</v>
    <v>218.94</v>
    <v>214.94990000000001</v>
    <v>10734920000</v>
    <v>AMZN</v>
    <v>AMAZON.COM, INC. (XNAS:AMZN)</v>
    <v>11461287</v>
    <v>62477872</v>
    <v>1996</v>
  </rv>
  <rv s="2">
    <v>58</v>
  </rv>
  <rv s="0">
    <v>http://en.wikipedia.org/wiki/Public_domain</v>
    <v>Public domain</v>
  </rv>
  <rv s="0">
    <v>https://en.wikipedia.org/wiki/Microsoft</v>
    <v>Wikipedia</v>
  </rv>
  <rv s="10">
    <v>60</v>
    <v>61</v>
  </rv>
  <rv s="11">
    <v>30</v>
    <v>https://www.bing.com/th?id=AMMS_e6e837c7bf3a77408619758b7447855a&amp;qlt=95</v>
    <v>62</v>
    <v>0</v>
    <v>https://www.bing.com/images/search?form=xlimg&amp;q=microsoft</v>
    <v>Image of MICROSOFT CORPORATION</v>
  </rv>
  <rv s="0">
    <v>https://www.bing.com/financeapi/forcetrigger?t=a1xzim&amp;q=XNAS%3aMSFT&amp;form=skydnc</v>
    <v>Learn more on Bing</v>
  </rv>
  <rv s="12">
    <v>en-US</v>
    <v>a1xzim</v>
    <v>268435456</v>
    <v>1</v>
    <v>Powered by Refinitiv</v>
    <v>26</v>
    <v>MICROSOFT CORPORATION (XNAS:MSFT)</v>
    <v>28</v>
    <v>29</v>
    <v>Finance</v>
    <v>4</v>
    <v>555.45000000000005</v>
    <v>344.79</v>
    <v>1.0991</v>
    <v>0.23</v>
    <v>5.6000000000000006E-4</v>
    <v>USD</v>
    <v>Microsoft Corporation is a technology company that develops and supports software, services, devices, and solutions. Its Productivity and Business Processes segment consists of products and services in its portfolio of productivity, communication, and information services, spanning a variety of devices and platforms. It comprises Microsoft 365 Commercial products and cloud services; Microsoft 365 Consumer products and cloud services; LinkedIn, and Dynamics products and cloud services. The Intelligent Cloud segment consists of its public, private, and hybrid server products and cloud services. It comprises server products and cloud services, including Azure, and enterprise and partner services, including Enterprise Support Services. Its More Personal Computing segment primarily comprises Windows and Devices, including Windows OEM licensing; Gaming, including Xbox hardware and Xbox content; Search and news advertising, comprising Bing and Copilot, Microsoft News, and Microsoft Edge.</v>
    <v>228000</v>
    <v>Nasdaq Stock Market</v>
    <v>XNAS</v>
    <v>XNAS</v>
    <v>One Microsoft Way, REDMOND, WA, 98052 US</v>
    <v>413.05</v>
    <v>63</v>
    <v>Software &amp; IT Services</v>
    <v>Stock</v>
    <v>46087.645549039065</v>
    <v>64</v>
    <v>408.95</v>
    <v>3051265212390</v>
    <v>MICROSOFT CORPORATION</v>
    <v>MICROSOFT CORPORATION</v>
    <v>409.52</v>
    <v>25.7102</v>
    <v>410.68</v>
    <v>410.91</v>
    <v>7425629000</v>
    <v>MSFT</v>
    <v>MICROSOFT CORPORATION (XNAS:MSFT)</v>
    <v>7198557</v>
    <v>45446509</v>
    <v>1993</v>
  </rv>
  <rv s="2">
    <v>65</v>
  </rv>
  <rv s="0">
    <v>https://www.bing.com/financeapi/forcetrigger?t=a1u3rw&amp;q=XNAS%3aGOOGL&amp;form=skydnc</v>
    <v>Learn more on Bing</v>
  </rv>
  <rv s="1">
    <v>en-US</v>
    <v>a1u3rw</v>
    <v>268435456</v>
    <v>1</v>
    <v>Powered by Refinitiv</v>
    <v>0</v>
    <v>ALPHABET INC. (XNAS:GOOGL)</v>
    <v>2</v>
    <v>3</v>
    <v>Finance</v>
    <v>4</v>
    <v>349</v>
    <v>140.53</v>
    <v>1.1174999999999999</v>
    <v>-1.2</v>
    <v>-3.9880000000000002E-3</v>
    <v>USD</v>
    <v>Alphabet Inc. is a holding company. The Company's segments include Google Services, Google Cloud, and Other Bets. The Google Services segment includes products and services such as ads, Android, Chrome, devices, Google Maps, Google Play, Search, and YouTube. The Google Cloud segment includes infrastructure and platform services, collaboration tools, and other services for enterprise customers. Its Other Bets segment is engaged in the sale of healthcare-related services and Internet services. Its Google Cloud provides enterprise-ready cloud services, including Google Cloud Platform and Google Workspace. Google Cloud Platform provides access to solutions such as artificial intelligence (AI) offerings, including its AI infrastructure, Vertex AI platform, and Gemini for Google Cloud; cybersecurity, and data and analytics. Google Workspace includes cloud-based communication and collaboration tools for enterprises, such as Calendar, Gmail, Docs, Drive, and Meet.</v>
    <v>190820</v>
    <v>Nasdaq Stock Market</v>
    <v>XNAS</v>
    <v>XNAS</v>
    <v>1600 Amphitheatre Parkway, MOUNTAIN VIEW, CA, 94043 US</v>
    <v>300.23500000000001</v>
    <v>Software &amp; IT Services</v>
    <v>Stock</v>
    <v>46087.645553622657</v>
    <v>67</v>
    <v>295.18</v>
    <v>3625228960000</v>
    <v>ALPHABET INC.</v>
    <v>ALPHABET INC.</v>
    <v>296.14999999999998</v>
    <v>27.7225</v>
    <v>300.88</v>
    <v>299.68</v>
    <v>12097000000</v>
    <v>GOOGL</v>
    <v>ALPHABET INC. (XNAS:GOOGL)</v>
    <v>6238463</v>
    <v>40617166</v>
    <v>2015</v>
  </rv>
  <rv s="2">
    <v>68</v>
  </rv>
  <rv s="0">
    <v>https://www.bing.com/financeapi/forcetrigger?t=a1slm7&amp;q=XNAS%3aMETA&amp;form=skydnc</v>
    <v>Learn more on Bing</v>
  </rv>
  <rv s="1">
    <v>en-US</v>
    <v>a1slm7</v>
    <v>268435456</v>
    <v>1</v>
    <v>Powered by Refinitiv</v>
    <v>0</v>
    <v>META PLATFORMS, INC. (XNAS:META)</v>
    <v>2</v>
    <v>3</v>
    <v>Finance</v>
    <v>4</v>
    <v>796.25</v>
    <v>479.8</v>
    <v>1.2747999999999999</v>
    <v>-17.695</v>
    <v>-2.6787000000000002E-2</v>
    <v>USD</v>
    <v>Meta Platforms, Inc. is building human connections, powered by artificial intelligence and immersive technologies. The Company's products enable people to connect and share with friends and family through mobile devices, personal computers, virtual reality (VR) and mixed reality (MR) headsets, augmented reality (AR), and wearables. It also helps people discover and learn about what is going on in the world around them, enabling people to share their experiences, ideas, photos, videos, and other content with audiences ranging from their closest family members and friends to the public at large. The Company's segments include Family of Apps (FoA) and Reality Labs (RL). FoA segment includes Facebook, Instagram, Messenger, WhatsApp and Threads. RL segment includes its virtual, augmented, and mixed reality related consumer hardware, software and content. Its product offerings in VR include its Meta Quest devices, as well as software and content available through the Meta Horizon Store.</v>
    <v>78865</v>
    <v>Nasdaq Stock Market</v>
    <v>XNAS</v>
    <v>XNAS</v>
    <v>1 Meta Way, MENLO PARK, CA, 94025 US</v>
    <v>648.38</v>
    <v>Software &amp; IT Services</v>
    <v>Stock</v>
    <v>46087.645573842186</v>
    <v>70</v>
    <v>636.17999999999995</v>
    <v>1626187670625</v>
    <v>META PLATFORMS, INC.</v>
    <v>META PLATFORMS, INC.</v>
    <v>648</v>
    <v>21.993200000000002</v>
    <v>660.57</v>
    <v>642.875</v>
    <v>2529555000</v>
    <v>META</v>
    <v>META PLATFORMS, INC. (XNAS:META)</v>
    <v>3271378</v>
    <v>15399931</v>
    <v>2004</v>
  </rv>
  <rv s="2">
    <v>71</v>
  </rv>
  <rv s="0">
    <v>https://www.bing.com/financeapi/forcetrigger?t=a24kar&amp;q=XNAS%3aTSLA&amp;form=skydnc</v>
    <v>Learn more on Bing</v>
  </rv>
  <rv s="1">
    <v>en-US</v>
    <v>a24kar</v>
    <v>268435456</v>
    <v>1</v>
    <v>Powered by Refinitiv</v>
    <v>0</v>
    <v>TESLA, INC. (XNAS:TSLA)</v>
    <v>2</v>
    <v>3</v>
    <v>Finance</v>
    <v>4</v>
    <v>498.83</v>
    <v>214.25</v>
    <v>1.9221999999999999</v>
    <v>-8.8000000000000007</v>
    <v>-2.1699000000000003E-2</v>
    <v>USD</v>
    <v>Tesla, Inc. designs, develops, manufactures, sells and leases high-performance fully electric vehicles and energy generation and storage systems, and offers services related to its products. Its segments include automotive, and energy generation and storage. The automotive segment includes the design, development, manufacturing, sales and leasing of high-performance fully electric vehicles, and sales of automotive regulatory credits. It also includes sales of used vehicles, non-warranty maintenance services and collisions, part sales, paid supercharging, insurance services revenue and retail merchandise sales. The energy generation and storage segment include the design, manufacture, installation, sales and leasing of solar energy generation and energy storage products and related services and sales of solar energy systems incentives. Its consumer vehicles include the Model 3, Y, S, X and Cybertruck. Its lithium-ion battery energy storage products include Powerwall and Megapack.</v>
    <v>134785</v>
    <v>Nasdaq Stock Market</v>
    <v>XNAS</v>
    <v>XNAS</v>
    <v>1 Tesla Road, AUSTIN, TX, 78725 US</v>
    <v>398.5</v>
    <v>Automobiles &amp; Auto Parts</v>
    <v>Stock</v>
    <v>46087.645562696096</v>
    <v>73</v>
    <v>394.22</v>
    <v>1488777396000</v>
    <v>TESLA, INC.</v>
    <v>TESLA, INC.</v>
    <v>398.1</v>
    <v>368.9325</v>
    <v>405.55</v>
    <v>396.75</v>
    <v>3752432000</v>
    <v>TSLA</v>
    <v>TESLA, INC. (XNAS:TSLA)</v>
    <v>16883053</v>
    <v>61029478</v>
    <v>2024</v>
  </rv>
  <rv s="2">
    <v>74</v>
  </rv>
  <rv s="0">
    <v>https://www.bing.com/financeapi/forcetrigger?t=a1mou2&amp;q=XNAS%3aAAPL&amp;form=skydnc</v>
    <v>Learn more on Bing</v>
  </rv>
  <rv s="1">
    <v>en-US</v>
    <v>a1mou2</v>
    <v>268435456</v>
    <v>1</v>
    <v>Powered by Refinitiv</v>
    <v>0</v>
    <v>APPLE INC. (XNAS:AAPL)</v>
    <v>2</v>
    <v>3</v>
    <v>Finance</v>
    <v>4</v>
    <v>288.62</v>
    <v>169.21010000000001</v>
    <v>1.1175999999999999</v>
    <v>-3.8109999999999999</v>
    <v>-1.4641E-2</v>
    <v>USD</v>
    <v>Apple Inc. designs, manufactures and markets smartphones, personal computers, tablets, wearables and accessories, and sells a variety of related services. Its product categories include iPhone, Mac, iPad, and Wearables, Home and Accessories. Its software platforms include iOS, iPadOS, macOS, watchOS, visionOS, and tvOS. Its services include advertising, AppleCare, cloud services, digital content and payment services. The Company operates various platforms, including the App Store, that allow customers to discover and download applications and digital content, such as books, music, video, games and podcasts. It also offers digital content through subscription-based services, including Apple Arcade, Apple Fitness+, Apple Music, Apple News+, and Apple TV+. Its products include iPhone 16 Pro, iPhone 16, iPhone 15, iPhone 14, iPhone SE, MacBook Air, MacBook Pro, iMac, Mac mini, Mac Studio, Mac Pro, iPad Pro, iPad Air, AirPods, AirPods Pro, AirPods Max, Apple TV, Apple Vision Pro and others.</v>
    <v>166000</v>
    <v>Nasdaq Stock Market</v>
    <v>XNAS</v>
    <v>XNAS</v>
    <v>One Apple Park Way, CUPERTINO, CA, 95014 US</v>
    <v>258.76</v>
    <v>Computers, Phones &amp; Household Electronics</v>
    <v>Stock</v>
    <v>46087.64556841406</v>
    <v>76</v>
    <v>254.37</v>
    <v>3770933793300</v>
    <v>APPLE INC.</v>
    <v>APPLE INC.</v>
    <v>258.69</v>
    <v>32.584899999999998</v>
    <v>260.29000000000002</v>
    <v>256.47899999999998</v>
    <v>14702700000</v>
    <v>AAPL</v>
    <v>APPLE INC. (XNAS:AAPL)</v>
    <v>8544896</v>
    <v>52739044</v>
    <v>1977</v>
  </rv>
  <rv s="2">
    <v>77</v>
  </rv>
  <rv s="13">
    <v>en-US</v>
    <v>c8aoz2</v>
    <v>268435456</v>
    <v>1</v>
    <v>Powered by Refinitiv</v>
    <v>31</v>
    <v>GrnShs:2x Lg NVDA Dly (XNAS:NVDL)</v>
    <v>6</v>
    <v>11</v>
    <v>Finance</v>
    <v>12</v>
    <v>118.5</v>
    <v>23.123100000000001</v>
    <v>3.6608000000000001</v>
    <v>-1.44</v>
    <v>-1.7634E-2</v>
    <v>USD</v>
    <v>Nasdaq Stock Market</v>
    <v>XNAS</v>
    <v>1.0500000000000001E-2</v>
    <v>81.06</v>
    <v>ETF</v>
    <v>46087.645548275003</v>
    <v>78.459999999999994</v>
    <v>3934344140.4899998</v>
    <v>GrnShs:2x Lg NVDA Dly</v>
    <v>78.5</v>
    <v>81.66</v>
    <v>80.22</v>
    <v>NVDL</v>
    <v>GrnShs:2x Lg NVDA Dly (XNAS:NVDL)</v>
    <v>3241219</v>
    <v>11866613</v>
  </rv>
  <rv s="2">
    <v>79</v>
  </rv>
  <rv s="0">
    <v>https://www.bing.com/financeapi/forcetrigger?t=bwxxoc&amp;q=XNAS%3aSOFI&amp;form=skydnc</v>
    <v>Learn more on Bing</v>
  </rv>
  <rv s="1">
    <v>en-US</v>
    <v>bwxxoc</v>
    <v>268435456</v>
    <v>1</v>
    <v>Powered by Refinitiv</v>
    <v>0</v>
    <v>SOFI TECHNOLOGIES, INC. (XNAS:SOFI)</v>
    <v>2</v>
    <v>3</v>
    <v>Finance</v>
    <v>4</v>
    <v>32.729999999999997</v>
    <v>8.6</v>
    <v>2.2423999999999999</v>
    <v>-0.58499999999999996</v>
    <v>-3.039E-2</v>
    <v>USD</v>
    <v>SoFi Technologies, Inc. is a member-centric, one-stop shop for digital financial services. The Company, through its lending and financial services products, allows members to borrow, save, spend, invest and protect their money. The Company's segments include Lending, Technology Platform and Financial Services. The Lending segment offers personal loans, student loans, home loans and related servicing to help its members with a variety of financial needs. Its platform supports the full transaction lifecycle, including credit application, underwriting, approval, funding and servicing. The Technology Platform segment provides services through a diversified suite of offerings which include an event and authorization platform accessed via application programming interfaces, a cloud-native digital and core banking platform and services related to both platforms. The Financial Services segment offers a suite of financial services solutions, including SoFi Money and SoFi Invest.</v>
    <v>6100</v>
    <v>Nasdaq Stock Market</v>
    <v>XNAS</v>
    <v>XNAS</v>
    <v>234 1st Street, SAN FRANCISCO, CA, 94105 US</v>
    <v>18.75</v>
    <v>Banking Services</v>
    <v>Stock</v>
    <v>46087.645558553122</v>
    <v>81</v>
    <v>18.12</v>
    <v>23802802560</v>
    <v>SOFI TECHNOLOGIES, INC.</v>
    <v>SOFI TECHNOLOGIES, INC.</v>
    <v>18.510000000000002</v>
    <v>49.092599999999997</v>
    <v>19.25</v>
    <v>18.664999999999999</v>
    <v>1275264000</v>
    <v>SOFI</v>
    <v>SOFI TECHNOLOGIES, INC. (XNAS:SOFI)</v>
    <v>17131777</v>
    <v>71342331</v>
    <v>2021</v>
  </rv>
  <rv s="2">
    <v>82</v>
  </rv>
  <rv s="0">
    <v>https://www.bing.com/financeapi/forcetrigger?t=a22wz2&amp;q=XNYS%3aSHOP&amp;form=skydnc</v>
    <v>Learn more on Bing</v>
  </rv>
  <rv s="1">
    <v>en-US</v>
    <v>a22wz2</v>
    <v>268435456</v>
    <v>1</v>
    <v>Powered by Refinitiv</v>
    <v>0</v>
    <v>SHOPIFY INC. (XNAS:SHOP)</v>
    <v>2</v>
    <v>3</v>
    <v>Finance</v>
    <v>4</v>
    <v>182.19</v>
    <v>69.84</v>
    <v>2.8757999999999999</v>
    <v>-4.3099999999999996</v>
    <v>-3.1975999999999997E-2</v>
    <v>USD</v>
    <v>Shopify Inc. (Shopify) is a Canada-based global commerce company. The Company provides essential Internet infrastructure for commerce, offering tools to start, grow, market and manage a retail business of any size. It provides platforms and services that are engineered and delivers a shopping experience for consumers online, in store and everywhere in between. Its software enables merchants to run their business across all of their sales channels, including Web and mobile storefronts, physical retail locations, social media storefronts, and marketplaces. The Company's Shopify platform provides merchants with a single view of their business across all of their sales channels and enables them to manage products and inventory, process orders and payments, fulfill and ship orders, build customer relationships, source products, leverage analytics and reporting, and access financing, all from one integrated back office. The Shopify's platform operates across 175 countries.</v>
    <v>7600</v>
    <v>Nasdaq Stock Market</v>
    <v>XNAS</v>
    <v>XNAS</v>
    <v>151 O'connor Street, Ground Floor, OTTAWA, ON, K2P 2L8 CA</v>
    <v>132.80000000000001</v>
    <v>Software &amp; IT Services</v>
    <v>Stock</v>
    <v>46087.645558923439</v>
    <v>84</v>
    <v>128.02000000000001</v>
    <v>170160403280</v>
    <v>SHOPIFY INC.</v>
    <v>SHOPIFY INC.</v>
    <v>130.71</v>
    <v>139.74510000000001</v>
    <v>134.79</v>
    <v>130.47999999999999</v>
    <v>1304111000</v>
    <v>SHOP</v>
    <v>SHOPIFY INC. (XNAS:SHOP)</v>
    <v>3453002</v>
    <v>17181231</v>
    <v>2004</v>
  </rv>
  <rv s="2">
    <v>85</v>
  </rv>
  <rv s="0">
    <v>https://www.bing.com/financeapi/forcetrigger?t=a1ntlh&amp;q=XNAS%3aASML&amp;form=skydnc</v>
    <v>Learn more on Bing</v>
  </rv>
  <rv s="1">
    <v>en-US</v>
    <v>a1ntlh</v>
    <v>268435456</v>
    <v>1</v>
    <v>Powered by Refinitiv</v>
    <v>0</v>
    <v>ASML Holding NV (XNAS:ASML)</v>
    <v>2</v>
    <v>3</v>
    <v>Finance</v>
    <v>4</v>
    <v>1547.22</v>
    <v>578.51</v>
    <v>1.8884000000000001</v>
    <v>-40.909999999999997</v>
    <v>-2.9897E-2</v>
    <v>USD</v>
    <v>ASML Holding N.V. is a holding company based in the Netherlands. The Company operates through its subsidiaries in the Netherlands, the United States, Italy, France, Germany, the United Kingdom, Ireland, Belgium, South Korea, Taiwan, Singapore, China, Hong Kong, Japan, Malaysia and Israel. The Company operates through one business segment which is engage in development, production, marketing, sales, upgrading and servicing of advanced semiconductor equipment systems, consisting of lithography, metrology and inspection systems. The Company offers TWINSCAN systems, equipped with lithography system with a mercury lamp as light source (i-line), Krypton Fluoride (KrF) and Argon Fluoride (ArF) light sources for processing wafers for manufacturing environments for which imaging at a small resolution is required. TWINSCAN systems also include immersion lithography systems (TWINSCAN immersion systems).</v>
    <v>43520</v>
    <v>Nasdaq Stock Market</v>
    <v>XNAS</v>
    <v>XNAS</v>
    <v>De Run 6501, VELDHOVEN, NOORD-BRABANT, 5504 DR NL</v>
    <v>1333.49</v>
    <v>Semiconductors &amp; Semiconductor Equipment</v>
    <v>Stock</v>
    <v>46087.645558240627</v>
    <v>87</v>
    <v>1292</v>
    <v>515246664365</v>
    <v>ASML Holding NV</v>
    <v>ASML Holding NV</v>
    <v>1293.8599999999999</v>
    <v>45.7331</v>
    <v>1368.36</v>
    <v>1327.45</v>
    <v>388147700</v>
    <v>ASML</v>
    <v>ASML Holding NV (XNAS:ASML)</v>
    <v>558760</v>
    <v>1630224</v>
    <v>1994</v>
  </rv>
  <rv s="2">
    <v>88</v>
  </rv>
  <rv s="0">
    <v>https://www.bing.com/financeapi/forcetrigger?t=a1retc&amp;q=XNYS%3aDELL&amp;form=skydnc</v>
    <v>Learn more on Bing</v>
  </rv>
  <rv s="1">
    <v>en-US</v>
    <v>a1retc</v>
    <v>268435456</v>
    <v>1</v>
    <v>Powered by Refinitiv</v>
    <v>0</v>
    <v>DELL TECHNOLOGIES INC. (XNYS:DELL)</v>
    <v>2</v>
    <v>3</v>
    <v>Finance</v>
    <v>4</v>
    <v>168.08</v>
    <v>66.245000000000005</v>
    <v>0.95450000000000002</v>
    <v>0.86</v>
    <v>5.8699999999999994E-3</v>
    <v>USD</v>
    <v>Dell Technologies Inc. is engaged in designing, developing, manufacturing, marketing, selling, and supporting a wide range of comprehensive and integrated solutions, products, and services. The Company operates through two segments: Infrastructure Solutions Group (ISG) and Client Solutions Group (CSG). Its ISG segment enables the Company’s customer’s digital transformation with solutions that address artificial intelligence (AI), machine learning, data analytics, and multi cloud environments. Its comprehensive storage portfolio includes modern and traditional storage solutions, including all-flash arrays, scale-out file, object platforms, hyper-converged infrastructure, and software-defined storage. Its CSG segment offers branded personal computers (PCs) including notebooks, desktops, and workstations and branded peripherals that include displays, docking stations, keyboards, mice, and webcam and audio devices, as well as third-party software and peripherals.</v>
    <v>108000</v>
    <v>New York Stock Exchange</v>
    <v>XNYS</v>
    <v>XNYS</v>
    <v>ONE DELL WAY, ROUND ROCK, TX, 78682 US</v>
    <v>147.75</v>
    <v>Computers, Phones &amp; Household Electronics</v>
    <v>Stock</v>
    <v>46087.645543159379</v>
    <v>90</v>
    <v>142.12</v>
    <v>97667193248</v>
    <v>DELL TECHNOLOGIES INC.</v>
    <v>DELL TECHNOLOGIES INC.</v>
    <v>143.83000000000001</v>
    <v>16.9023</v>
    <v>146.52000000000001</v>
    <v>147.38</v>
    <v>662689600</v>
    <v>DELL</v>
    <v>DELL TECHNOLOGIES INC. (XNYS:DELL)</v>
    <v>1177747</v>
    <v>9521295</v>
    <v>2013</v>
  </rv>
  <rv s="2">
    <v>91</v>
  </rv>
  <rv s="0">
    <v>https://www.bing.com/financeapi/forcetrigger?t=c27jhw&amp;q=XNAS%3aMNDY&amp;form=skydnc</v>
    <v>Learn more on Bing</v>
  </rv>
  <rv s="1">
    <v>en-US</v>
    <v>c27jhw</v>
    <v>268435456</v>
    <v>1</v>
    <v>Powered by Refinitiv</v>
    <v>0</v>
    <v>MONDAY.COM LTD (XNAS:MNDY)</v>
    <v>2</v>
    <v>3</v>
    <v>Finance</v>
    <v>4</v>
    <v>316.98</v>
    <v>68.680000000000007</v>
    <v>1.2888999999999999</v>
    <v>-0.38500000000000001</v>
    <v>-4.9059999999999998E-3</v>
    <v>USD</v>
    <v>Monday.Com Ltd is an Israel-based company engaged primarily in the software sector. The Company provides cloud-based platform that enables its users to create custom applications and project management software. The platform offers a Work Operating System (Work OS) that provides modular building blocks to create software applications and work management tools. This system is designed to enhance team collaboration and streamline workflows across various business functions, including project management, CRM, marketing, and more. The Company has teams in Tel Aviv, New York, San Francisco, Miami, Chicago, London, Kiev, and Sydney. The Company customize its platform to suit any business vertical and serves customers worldwide.</v>
    <v>2508</v>
    <v>Nasdaq Stock Market</v>
    <v>XNAS</v>
    <v>XNAS</v>
    <v>6 Yitzhak Sadeh Street, TEL AVIV-YAFO, 677750 IL</v>
    <v>78.680000000000007</v>
    <v>Software &amp; IT Services</v>
    <v>Stock</v>
    <v>46087.645545010935</v>
    <v>93</v>
    <v>76.39</v>
    <v>4025911268</v>
    <v>MONDAY.COM LTD</v>
    <v>MONDAY.COM LTD</v>
    <v>78.010000000000005</v>
    <v>34.854500000000002</v>
    <v>78.48</v>
    <v>78.094999999999999</v>
    <v>51551460</v>
    <v>MNDY</v>
    <v>MONDAY.COM LTD (XNAS:MNDY)</v>
    <v>278150</v>
    <v>3836800</v>
    <v>2012</v>
  </rv>
  <rv s="2">
    <v>94</v>
  </rv>
  <rv s="0">
    <v>https://www.bing.com/financeapi/forcetrigger?t=c1tsrw&amp;q=XNAS%3aPGY&amp;form=skydnc</v>
    <v>Learn more on Bing</v>
  </rv>
  <rv s="1">
    <v>en-US</v>
    <v>c1tsrw</v>
    <v>268435456</v>
    <v>1</v>
    <v>Powered by Refinitiv</v>
    <v>0</v>
    <v>PAGAYA TECHNOLOGIES LTD (XNAS:PGY)</v>
    <v>2</v>
    <v>3</v>
    <v>Finance</v>
    <v>4</v>
    <v>44.99</v>
    <v>8.5</v>
    <v>5.9260000000000002</v>
    <v>-0.51</v>
    <v>-4.2465000000000003E-2</v>
    <v>USD</v>
    <v>Pagaya Technologies Ltd is an Israel-based company. It is primarily engaged in financial technology (FinTech) industry. The Company develops data science, machine learning and AI technology (Artificial Intelligence) analytics, enabling accurate, real-time customer credit assessments. Company's customers are lending companies that, by connecting to the AI Pagaya network, have the opportunity to discover and approve new customers that meet their credit criteria. Thanks to the Company's solutions, its customers gains a customer without undue risk. Pagaya Technologies Ltd delivers technology that provides loan assistance such as personal, car and credit card loans. The Company serves its clients all over the world.</v>
    <v>518</v>
    <v>Nasdaq Stock Market</v>
    <v>XNAS</v>
    <v>XNAS</v>
    <v>121 Menachem Begin Rd., 54Th Floor, TEL AVIV-YAFO IL</v>
    <v>11.74</v>
    <v>Financial Technology (Fintech) &amp; Infrastructure</v>
    <v>Stock</v>
    <v>46087.645551075781</v>
    <v>96</v>
    <v>11.17</v>
    <v>949054060</v>
    <v>PAGAYA TECHNOLOGIES LTD</v>
    <v>PAGAYA TECHNOLOGIES LTD</v>
    <v>11.6</v>
    <v>0</v>
    <v>12.01</v>
    <v>11.5</v>
    <v>82526440</v>
    <v>PGY</v>
    <v>PAGAYA TECHNOLOGIES LTD (XNAS:PGY)</v>
    <v>1403776</v>
    <v>5359284</v>
    <v>2016</v>
  </rv>
  <rv s="2">
    <v>97</v>
  </rv>
  <rv s="0">
    <v>http://en.wikipedia.org/wiki/IBM</v>
    <v>Wikipedia</v>
  </rv>
  <rv s="10">
    <v>60</v>
    <v>99</v>
  </rv>
  <rv s="11">
    <v>30</v>
    <v>https://www.bing.com/th?id=AMMS_41da901be1b295dc42c72dadb9c0f67d&amp;qlt=95</v>
    <v>100</v>
    <v>0</v>
    <v>https://www.bing.com/images/search?form=xlimg&amp;q=ibm</v>
    <v>Image of INTERNATIONAL BUSINESS MACHINES CORPORATION</v>
  </rv>
  <rv s="0">
    <v>https://www.bing.com/financeapi/forcetrigger?t=a1v6nm&amp;q=XNYS%3aIBM&amp;form=skydnc</v>
    <v>Learn more on Bing</v>
  </rv>
  <rv s="12">
    <v>en-US</v>
    <v>a1v6nm</v>
    <v>268435456</v>
    <v>1</v>
    <v>Powered by Refinitiv</v>
    <v>26</v>
    <v>INTERNATIONAL BUSINESS MACHINES CORPORATION (XNYS:IBM)</v>
    <v>28</v>
    <v>29</v>
    <v>Finance</v>
    <v>4</v>
    <v>324.89999999999998</v>
    <v>214.5</v>
    <v>0.68859999999999999</v>
    <v>-0.57999999999999996</v>
    <v>-2.261E-3</v>
    <v>USD</v>
    <v>International Business Machines Corporation is a provider of global hybrid cloud and artificial intelligence (AI) and consulting expertise. The Company’s segments include Software, Consulting, Infrastructure and Financing. The Software segment includes hybrid cloud and AI platforms, which allow clients to realize their digital and AI transformations across the applications, data, and environments in which they operate. The Consulting segment focuses on integrating skills on strategy, experience, technology and operations by domain and industry. The Infrastructure segment is focused on the hybrid cloud infrastructure market, providing on-premises and cloud-based server and storage solutions. In addition, it offers a portfolio of life-cycle services for hybrid cloud infrastructure deployment. The Financing segment provides client and commercial financing, facilitating its clients’ acquisition of hardware, software and services. It helps clients in more than 175 countries.</v>
    <v>286800</v>
    <v>New York Stock Exchange</v>
    <v>XNYS</v>
    <v>XNYS</v>
    <v>One New Orchard Road, ARMONK, NY, 10504 US</v>
    <v>257.90499999999997</v>
    <v>101</v>
    <v>Software &amp; IT Services</v>
    <v>Stock</v>
    <v>46087.64556586797</v>
    <v>102</v>
    <v>252.23</v>
    <v>240108665368</v>
    <v>INTERNATIONAL BUSINESS MACHINES CORPORATION</v>
    <v>INTERNATIONAL BUSINESS MACHINES CORPORATION</v>
    <v>256.19</v>
    <v>20.742899999999999</v>
    <v>256.55</v>
    <v>255.97</v>
    <v>938034400</v>
    <v>IBM</v>
    <v>INTERNATIONAL BUSINESS MACHINES CORPORATION (XNYS:IBM)</v>
    <v>1184141</v>
    <v>7550375</v>
    <v>1911</v>
  </rv>
  <rv s="2">
    <v>103</v>
  </rv>
  <rv s="0">
    <v>https://www.bing.com/financeapi/forcetrigger?t=a2aiur&amp;q=OTCM%3aBRPHF&amp;form=skydnc</v>
    <v>Learn more on Bing</v>
  </rv>
  <rv s="1">
    <v>en-US</v>
    <v>a2aiur</v>
    <v>268435456</v>
    <v>1</v>
    <v>Powered by Refinitiv</v>
    <v>0</v>
    <v>GALAXY DIGITAL INC. (XNAS:GLXY)</v>
    <v>2</v>
    <v>3</v>
    <v>Finance</v>
    <v>4</v>
    <v>45.92</v>
    <v>8.1999999999999993</v>
    <v>3.6625999999999999</v>
    <v>-0.878</v>
    <v>-3.8626999999999995E-2</v>
    <v>USD</v>
    <v>Galaxy Digital Inc. is engaged in the business of digital assets and data center infrastructure, delivering solutions that accelerate progress in finance and artificial intelligence (AI). The Company's digital assets platform offers institutional access to trading, advisory, asset management, staking, self-custody, and tokenization technology. In addition, it develops and operates data center infrastructure to power AI and high-performance computing workloads. The Company's segments include Digital Assets, Data Centers, and Treasury and Corporate. Its Digital Assets operating business segment provides new products and capabilities such as staking, margin-based financing and active exchange-traded funds. The Data Centers segment comprises the Helios infrastructure assets. Its Data Centers segment develops and operates High Performance Computing (HPC) infrastructure to meet the growing demand for large-scale, power-ready facilities in the AI/HPC industry.</v>
    <v>520</v>
    <v>Nasdaq Stock Market</v>
    <v>XNAS</v>
    <v>XNAS</v>
    <v>300 Vesey Street, 13Th Floor, NEW YORK, NY, 10282 US</v>
    <v>22.01</v>
    <v>Investment Banking &amp; Investment Services</v>
    <v>Stock</v>
    <v>46087.645541967191</v>
    <v>105</v>
    <v>21.07</v>
    <v>8546520423</v>
    <v>GALAXY DIGITAL INC.</v>
    <v>GALAXY DIGITAL INC.</v>
    <v>21.73</v>
    <v>0</v>
    <v>22.73</v>
    <v>21.852</v>
    <v>391109300</v>
    <v>GLXY</v>
    <v>GALAXY DIGITAL INC. (XNAS:GLXY)</v>
    <v>1045972</v>
    <v>7210809</v>
    <v>2021</v>
  </rv>
  <rv s="2">
    <v>106</v>
  </rv>
  <rv s="0">
    <v>https://www.bing.com/financeapi/forcetrigger?t=a24xlh&amp;q=XNYS%3aUNH&amp;form=skydnc</v>
    <v>Learn more on Bing</v>
  </rv>
  <rv s="1">
    <v>en-US</v>
    <v>a24xlh</v>
    <v>268435456</v>
    <v>1</v>
    <v>Powered by Refinitiv</v>
    <v>0</v>
    <v>UNITEDHEALTH GROUP INCORPORATED (XNYS:UNH)</v>
    <v>2</v>
    <v>3</v>
    <v>Finance</v>
    <v>4</v>
    <v>606.36</v>
    <v>234.6</v>
    <v>0.38150000000000001</v>
    <v>-4.6399999999999997</v>
    <v>-1.6067999999999999E-2</v>
    <v>USD</v>
    <v>UnitedHealth Group Incorporated is a healthcare and well-being company. Its segments include Optum Health, Optum Insight, Optum Rx, and UnitedHealthcare, which includes UnitedHealthcare Employer &amp; Individual, UnitedHealthcare Medicare &amp; Retirement and UnitedHealthcare Community &amp; State. Optum Health offers comprehensive and patient-centered care, addressing the physical, mental, social, and financial well-being. Optum Health delivers primary, specialty and surgical care; helps patients and providers navigate and address complex, chronic and behavioral health needs. Optum Insight connects the healthcare system with services, analytics and platforms that make clinical, administrative and financial processes simpler and more efficient for all participants in the healthcare system. Optum Rx offers a range of pharmacy care services through retail pharmacies, through home delivery, specialty and community health pharmacies and the provision of in-home and community-based infusion services.</v>
    <v>390000</v>
    <v>New York Stock Exchange</v>
    <v>XNYS</v>
    <v>XNYS</v>
    <v>1 HEALTH DRIVE, EDEN PRAIRIE, MN, 55344 US</v>
    <v>291.32499999999999</v>
    <v>Healthcare Providers &amp; Services</v>
    <v>Stock</v>
    <v>46087.645568402346</v>
    <v>108</v>
    <v>283.05</v>
    <v>257897925054</v>
    <v>UNITEDHEALTH GROUP INCORPORATED</v>
    <v>UNITEDHEALTH GROUP INCORPORATED</v>
    <v>287.68</v>
    <v>21.5351</v>
    <v>288.77</v>
    <v>284.13</v>
    <v>907675800</v>
    <v>UNH</v>
    <v>UNITEDHEALTH GROUP INCORPORATED (XNYS:UNH)</v>
    <v>1728535</v>
    <v>9135371</v>
    <v>2015</v>
  </rv>
  <rv s="2">
    <v>109</v>
  </rv>
  <rv s="0">
    <v>https://www.bing.com/financeapi/forcetrigger?t=c1dbvh&amp;q=XNYS%3aPATH&amp;form=skydnc</v>
    <v>Learn more on Bing</v>
  </rv>
  <rv s="1">
    <v>en-US</v>
    <v>c1dbvh</v>
    <v>268435456</v>
    <v>1</v>
    <v>Powered by Refinitiv</v>
    <v>0</v>
    <v>UIPATH, INC. (XNYS:PATH)</v>
    <v>2</v>
    <v>3</v>
    <v>Finance</v>
    <v>4</v>
    <v>19.84</v>
    <v>9.3800000000000008</v>
    <v>1.0727</v>
    <v>-0.02</v>
    <v>-1.732E-3</v>
    <v>USD</v>
    <v>UiPath, Inc. is an enterprise automation and artificial intelligence (AI) software company. The Company is focused on building and managing automations, starting with computer vision technology and user interface automations in its initial robotic process automation (RPA) offering. Its AI-powered UiPath Platform offers a robust set of capabilities that allows its customers to discover opportunities for automation, automate using a digital workforce that seamlessly collaborates with humans, and operate a mission critical automation program at scale. It enables employees to quickly build automations for both existing and new processes and to automate an array of actions, including logging into applications, extracting information from documents, moving folders, filling in forms, reading emails, and updating information fields and databases. Its platform allows users to design and combine UI automations, API integrations, and AI-based document understanding in a single workflow.</v>
    <v>3868</v>
    <v>New York Stock Exchange</v>
    <v>XNYS</v>
    <v>XNYS</v>
    <v>One Vanderbilt Avenue, 60th Floor, NEW YORK, NY, 10017 US</v>
    <v>11.64</v>
    <v>Software &amp; IT Services</v>
    <v>Stock</v>
    <v>46087.645534305469</v>
    <v>111</v>
    <v>11.234999999999999</v>
    <v>6165664041</v>
    <v>UIPATH, INC.</v>
    <v>UIPATH, INC.</v>
    <v>11.4</v>
    <v>27.452400000000001</v>
    <v>11.55</v>
    <v>11.53</v>
    <v>534749700</v>
    <v>PATH</v>
    <v>UIPATH, INC. (XNYS:PATH)</v>
    <v>5494717</v>
    <v>34462020</v>
    <v>2015</v>
  </rv>
  <rv s="2">
    <v>112</v>
  </rv>
  <rv s="0">
    <v>https://www.bing.com/financeapi/forcetrigger?t=bo5fpr&amp;q=XNAS%3aMRNA&amp;form=skydnc</v>
    <v>Learn more on Bing</v>
  </rv>
  <rv s="1">
    <v>en-US</v>
    <v>bo5fpr</v>
    <v>268435456</v>
    <v>1</v>
    <v>Powered by Refinitiv</v>
    <v>0</v>
    <v>MODERNA, INC. (XNAS:MRNA)</v>
    <v>2</v>
    <v>3</v>
    <v>Finance</v>
    <v>4</v>
    <v>59.55</v>
    <v>22.28</v>
    <v>1.3474999999999999</v>
    <v>-2.3875000000000002</v>
    <v>-4.4352999999999997E-2</v>
    <v>USD</v>
    <v>Moderna, Inc. is a biotechnology company. The Company is advancing a new class of medicines made of messenger ribonucleic acid (mRNA). It is developing therapeutics and vaccines for infectious diseases, immuno-oncology, rare diseases and autoimmune diseases. mRNA medicines are designed to direct the body’s cells to produce intracellular, membrane or secreted proteins that have a therapeutic or preventive benefit with the potential to address a spectrum of diseases. The Company’s diverse development pipeline consists of 44 therapeutic and vaccine programs, 11 of which are in late-stage development. Its commercial products include Spikevax (its COVID vaccine) and mRESVIA (its respiratory syncytial virus (RSV) vaccine). Additionally, it has achieved four positive Phase III data readouts for its COVID vaccine (mRNA-1283), its RSV vaccine for high-risk adults aged 18 to 59 (mRNA-1345), its seasonal flu+COVID vaccine (mRNA-1083), and its seasonal flu vaccine (mRNA-1010).</v>
    <v>4700</v>
    <v>Nasdaq Stock Market</v>
    <v>XNAS</v>
    <v>XNAS</v>
    <v>325 BINNEY STREET, Cambridge, MA, 02142 US</v>
    <v>52.54</v>
    <v>Pharmaceuticals</v>
    <v>Stock</v>
    <v>46087.645529374997</v>
    <v>114</v>
    <v>50.64</v>
    <v>20316670084</v>
    <v>MODERNA, INC.</v>
    <v>MODERNA, INC.</v>
    <v>52.22</v>
    <v>0</v>
    <v>53.83</v>
    <v>51.442500000000003</v>
    <v>394939400</v>
    <v>MRNA</v>
    <v>MODERNA, INC. (XNAS:MRNA)</v>
    <v>2214661</v>
    <v>10959636</v>
    <v>2016</v>
  </rv>
  <rv s="2">
    <v>115</v>
  </rv>
  <rv s="0">
    <v>https://www.bing.com/financeapi/forcetrigger?t=a1zqnm&amp;q=XNYS%3aPFE&amp;form=skydnc</v>
    <v>Learn more on Bing</v>
  </rv>
  <rv s="1">
    <v>en-US</v>
    <v>a1zqnm</v>
    <v>268435456</v>
    <v>1</v>
    <v>Powered by Refinitiv</v>
    <v>0</v>
    <v>PFIZER INC. (XNYS:PFE)</v>
    <v>2</v>
    <v>3</v>
    <v>Finance</v>
    <v>4</v>
    <v>27.94</v>
    <v>20.914999999999999</v>
    <v>0.41570000000000001</v>
    <v>-0.32479999999999998</v>
    <v>-1.2206E-2</v>
    <v>USD</v>
    <v>Pfizer Inc. is a research-based, global biopharmaceutical company. The Company is engaged in the discovery, development, manufacture, marketing, sale and distribution of biopharmaceutical products worldwide. Its Biopharma segment includes the Pfizer U.S. Commercial Division, and the Pfizer International Commercial Division. Its product categories include oncology, primary care and specialty care. Its oncology products include Ibrance, Xtandi, Padcev, Adcetris, Inlyta, Lorbrena, Bosulif, Tukysa, Braftovi, Mektovi, Orgovyx, Elrexfio, Tivdak and Talzenna. Its primary care products include Eliquis, Nurtec ODT/Vydura, Zavzpret, the Prevnar family, Comirnaty, Abrysvo, FSME/IMMUN-TicoVac, Nimenrix, Trumenba, and Paxlovid. Its specialty care products include Xeljanz, Enbrel (outside the United States and Canada), Inflectra, Abrilada, Cibinqo, Litfulo, Eucrisa, Velsipity, the Vyndaqel family, Genotropin, and others. Its PF-08653944 is an ultra-long-acting fully biased GLP-1 receptor agonist.</v>
    <v>75000</v>
    <v>New York Stock Exchange</v>
    <v>XNYS</v>
    <v>XNYS</v>
    <v>66 HUDSON BOULEVARD EAST, NEW YORK, NY, 10001-2192 US</v>
    <v>26.56</v>
    <v>Pharmaceuticals</v>
    <v>Stock</v>
    <v>46087.645566250001</v>
    <v>117</v>
    <v>26.23</v>
    <v>149464691633</v>
    <v>PFIZER INC.</v>
    <v>PFIZER INC.</v>
    <v>26.51</v>
    <v>19.3858</v>
    <v>26.61</v>
    <v>26.2852</v>
    <v>5686268000</v>
    <v>PFE</v>
    <v>PFIZER INC. (XNYS:PFE)</v>
    <v>9311944</v>
    <v>45820378</v>
    <v>1942</v>
  </rv>
  <rv s="2">
    <v>118</v>
  </rv>
  <rv s="14">
    <v>en-US</v>
    <v>c9t5ww</v>
    <v>268435456</v>
    <v>1</v>
    <v>Powered by Refinitiv</v>
    <v>32</v>
    <v>SEALSQ Corp (XNAS:LAES)</v>
    <v>14</v>
    <v>3</v>
    <v>Finance</v>
    <v>4</v>
    <v>8.7100000000000009</v>
    <v>2.12</v>
    <v>0.51700000000000002</v>
    <v>5.5E-2</v>
    <v>1.2971999999999999E-2</v>
    <v>USD</v>
    <v>Sealsq Corp is a Switzerland based holding company operating primarily in the semiconductor industry. The Company focuses on developing and selling tamper resistant semiconductors, chips, processors and Post-Quantum technology products. The Company also develops certified secure microcontrollers and implement post-quantum cryptography also secure hardware, firmware, and provides other services for customers across multiple industries. The Company’s products are applicable in consumer electronics, aerospace &amp; military, telecommunications, energy and building, logistics, and medical sectors. The Company offers its solutions across the globe: USA, Canada, Europe, Middle East, Asia and Australia.</v>
    <v>67</v>
    <v>Nasdaq Stock Market</v>
    <v>XNAS</v>
    <v>XNAS</v>
    <v>Avenue Louis-Casai 58, COINTRIN, GENEVE, 1216 CH</v>
    <v>4.34</v>
    <v>Semiconductors &amp; Semiconductor Equipment</v>
    <v>Stock</v>
    <v>46087.645490253904</v>
    <v>4.03</v>
    <v>761937295</v>
    <v>SEALSQ Corp</v>
    <v>SEALSQ Corp</v>
    <v>4.0599999999999996</v>
    <v>0</v>
    <v>4.24</v>
    <v>4.2949999999999999</v>
    <v>177401000</v>
    <v>LAES</v>
    <v>SEALSQ Corp (XNAS:LAES)</v>
    <v>2191365</v>
    <v>5917460</v>
    <v>2022</v>
  </rv>
  <rv s="2">
    <v>120</v>
  </rv>
  <rv s="0">
    <v>https://www.bing.com/financeapi/forcetrigger?t=b116bh&amp;q=XNAS%3aWKEY&amp;form=skydnc</v>
    <v>Learn more on Bing</v>
  </rv>
  <rv s="1">
    <v>en-US</v>
    <v>b116bh</v>
    <v>268435456</v>
    <v>1</v>
    <v>Powered by Refinitiv</v>
    <v>0</v>
    <v>WISeKey International Holding Ltd (XNAS:WKEY)</v>
    <v>2</v>
    <v>3</v>
    <v>Finance</v>
    <v>4</v>
    <v>19.8</v>
    <v>2.5</v>
    <v>1.1753</v>
    <v>-0.16</v>
    <v>-2.0355999999999999E-2</v>
    <v>USD</v>
    <v>Wisekey International Holding AG is a Switzerland-based e-security company. It offers secure communication solutions for physical infrastructures, mobile networks and the Web, and helps protecting corporate data with archiving, invoicing and other security technologies, securing mobile phone communications and data, among others. The Company also provides identification and authentication solutions, and serves clients from various industries, including defense, health, education, finance, and government. Its product portfolio includes, among others, WISFans, which delivers customized sport contents, WISeID, which is an encryption solution to store usernames, passwords, personal identification numbers (PINs), credit cards, loyalty cards, notes, and other critical information, WISePhone for securing privacy in the area of mobile communication, and WISeAuthentic, which is an anti-counterfeiting and sales monitoring system.</v>
    <v>10</v>
    <v>Nasdaq Stock Market</v>
    <v>XNAS</v>
    <v>XNAS</v>
    <v>General-Guisan-Strasse 6, ZUG, ZUG, 6300 CH</v>
    <v>7.7</v>
    <v>Semiconductors &amp; Semiconductor Equipment</v>
    <v>Stock</v>
    <v>46087.645071122657</v>
    <v>122</v>
    <v>7.31</v>
    <v>62959589</v>
    <v>WISeKey International Holding Ltd</v>
    <v>WISeKey International Holding Ltd</v>
    <v>7.45</v>
    <v>0</v>
    <v>7.86</v>
    <v>7.7</v>
    <v>8176570</v>
    <v>WKEY</v>
    <v>WISeKey International Holding Ltd (XNAS:WKEY)</v>
    <v>32841</v>
    <v>108302</v>
    <v>2015</v>
  </rv>
  <rv s="2">
    <v>123</v>
  </rv>
  <rv s="0">
    <v>https://www.bing.com/financeapi/forcetrigger?t=a1wzw7&amp;q=XNYS%3aLMT&amp;form=skydnc</v>
    <v>Learn more on Bing</v>
  </rv>
  <rv s="1">
    <v>en-US</v>
    <v>a1wzw7</v>
    <v>268435456</v>
    <v>1</v>
    <v>Powered by Refinitiv</v>
    <v>0</v>
    <v>LOCKHEED MARTIN CORPORATION (XNYS:LMT)</v>
    <v>2</v>
    <v>3</v>
    <v>Finance</v>
    <v>4</v>
    <v>692</v>
    <v>410.11</v>
    <v>0.19919999999999999</v>
    <v>11.37</v>
    <v>1.7358999999999999E-2</v>
    <v>USD</v>
    <v>Lockheed Martin Corporation is a global aerospace and defense company. The Company is engaged in the research, design, development, manufacture, integration and sustainment of advanced technology systems, products and services. Its segments include Aeronautics, Missiles and Fire Control (MFC), Rotary and Mission Systems (RMS) and Space. Aeronautics segment is engaged in the research, design, development, manufacture, integration, sustainment, support and upgrade of advanced military aircraft. MFC segment provides air and missile defense systems, manned and unmanned ground vehicles, energy management solutions, and others. RMS segment designs, manufactures, services and supports various military and commercial helicopters, surface ships, sea and land-based missile defense systems, and others. Its Space segment is engaged in the research and design, development, engineering and production of satellites, space transportation systems, and strategic, advanced strike, and defensive systems.</v>
    <v>123000</v>
    <v>New York Stock Exchange</v>
    <v>XNYS</v>
    <v>XNYS</v>
    <v>6801 ROCKLEDGE DR, BETHESDA, MD, 20817 US</v>
    <v>668.78989999999999</v>
    <v>Aerospace &amp; Defense</v>
    <v>Stock</v>
    <v>46087.645553830465</v>
    <v>125</v>
    <v>656.4</v>
    <v>153318542874</v>
    <v>LOCKHEED MARTIN CORPORATION</v>
    <v>LOCKHEED MARTIN CORPORATION</v>
    <v>661.13</v>
    <v>31.013999999999999</v>
    <v>655</v>
    <v>666.37</v>
    <v>230080200</v>
    <v>LMT</v>
    <v>LOCKHEED MARTIN CORPORATION (XNYS:LMT)</v>
    <v>418118</v>
    <v>1799515</v>
    <v>1994</v>
  </rv>
  <rv s="2">
    <v>126</v>
  </rv>
  <rv s="0">
    <v>https://www.bing.com/financeapi/forcetrigger?t=a22m27&amp;q=ARCX%3aSCHD&amp;form=skydnc</v>
    <v>Learn more on Bing</v>
  </rv>
  <rv s="4">
    <v>en-US</v>
    <v>a22m27</v>
    <v>268435456</v>
    <v>1</v>
    <v>Powered by Refinitiv</v>
    <v>9</v>
    <v>Schwab Str:US Div Eq ETF (ARCX:SCHD)</v>
    <v>10</v>
    <v>11</v>
    <v>Finance</v>
    <v>12</v>
    <v>31.95</v>
    <v>23.87</v>
    <v>0.98980000000000001</v>
    <v>-0.32</v>
    <v>-1.0237000000000001E-2</v>
    <v>USD</v>
    <v>NYSE Arca</v>
    <v>ARCX</v>
    <v>5.9999999999999995E-4</v>
    <v>31.11</v>
    <v>ETF</v>
    <v>46087.645567071093</v>
    <v>128</v>
    <v>30.78</v>
    <v>85904446955.580002</v>
    <v>Schwab Str:US Div Eq ETF</v>
    <v>31.08</v>
    <v>31.26</v>
    <v>30.94</v>
    <v>SCHD</v>
    <v>Schwab Str:US Div Eq ETF (ARCX:SCHD)</v>
    <v>7879903</v>
    <v>24564115</v>
  </rv>
  <rv s="2">
    <v>129</v>
  </rv>
  <rv s="0">
    <v>https://www.bing.com/financeapi/forcetrigger?t=a1vxfr&amp;q=ARCX%3aIWM&amp;form=skydnc</v>
    <v>Learn more on Bing</v>
  </rv>
  <rv s="4">
    <v>en-US</v>
    <v>a1vxfr</v>
    <v>268435456</v>
    <v>1</v>
    <v>Powered by Refinitiv</v>
    <v>9</v>
    <v>iShares:Russ 2000 ETF (ARCX:IWM)</v>
    <v>10</v>
    <v>11</v>
    <v>Finance</v>
    <v>12</v>
    <v>271.59500000000003</v>
    <v>171.73</v>
    <v>0.999</v>
    <v>-4.47</v>
    <v>-1.7408999999999997E-2</v>
    <v>USD</v>
    <v>NYSE Arca</v>
    <v>ARCX</v>
    <v>1.9E-3</v>
    <v>252.95</v>
    <v>ETF</v>
    <v>46087.64555227969</v>
    <v>131</v>
    <v>250.07</v>
    <v>73953288181.809998</v>
    <v>iShares:Russ 2000 ETF</v>
    <v>251.48</v>
    <v>256.76</v>
    <v>252.29</v>
    <v>IWM</v>
    <v>iShares:Russ 2000 ETF (ARCX:IWM)</v>
    <v>19333792</v>
    <v>43025648</v>
  </rv>
  <rv s="2">
    <v>132</v>
  </rv>
</rvData>
</file>

<file path=xl/richData/rdrichvaluestructure.xml><?xml version="1.0" encoding="utf-8"?>
<rvStructures xmlns="http://schemas.microsoft.com/office/spreadsheetml/2017/richdata" count="15">
  <s t="_hyperlink">
    <k n="Address" t="s"/>
    <k n="Text" t="s"/>
  </s>
  <s t="_linkedentitycore">
    <k n="%EntityCulture" t="s"/>
    <k n="%EntityId" t="s"/>
    <k n="%EntityServiceId"/>
    <k n="%IsRefreshable" t="b"/>
    <k n="%ProviderInfo" t="s"/>
    <k n="_Display" t="spb"/>
    <k n="_DisplayString" t="s"/>
    <k n="_Flags" t="spb"/>
    <k n="_Format" t="spb"/>
    <k n="_Icon" t="s"/>
    <k n="_SubLabel" t="spb"/>
    <k n="52 week high"/>
    <k n="52 week low"/>
    <k n="Beta"/>
    <k n="Change"/>
    <k n="Change (%)"/>
    <k n="Currency" t="s"/>
    <k n="Description" t="s"/>
    <k n="Employees"/>
    <k n="Exchange" t="s"/>
    <k n="Exchange abbreviation" t="s"/>
    <k n="ExchangeID" t="s"/>
    <k n="Headquarters" t="s"/>
    <k n="High"/>
    <k n="Industry" t="s"/>
    <k n="Instrument type" t="s"/>
    <k n="Last trade time"/>
    <k n="LearnMoreOnLink" t="r"/>
    <k n="Low"/>
    <k n="Market cap"/>
    <k n="Name" t="s"/>
    <k n="Official name" t="s"/>
    <k n="Open"/>
    <k n="P/E"/>
    <k n="Previous close"/>
    <k n="Price"/>
    <k n="Shares outstanding"/>
    <k n="Ticker symbol" t="s"/>
    <k n="UniqueName" t="s"/>
    <k n="Volume"/>
    <k n="Volume average"/>
    <k n="Year incorporated"/>
  </s>
  <s t="_linkedentity">
    <k n="%cvi" t="r"/>
  </s>
  <s t="_linkedentitycore">
    <k n="%EntityCulture" t="s"/>
    <k n="%EntityId" t="s"/>
    <k n="%EntityServiceId"/>
    <k n="%IsRefreshable" t="b"/>
    <k n="%ProviderInfo" t="s"/>
    <k n="_Display" t="spb"/>
    <k n="_DisplayString" t="s"/>
    <k n="_Flags" t="spb"/>
    <k n="_Format" t="spb"/>
    <k n="_Icon" t="s"/>
    <k n="_SubLabel" t="spb"/>
    <k n="52 week high"/>
    <k n="52 week low"/>
    <k n="Change"/>
    <k n="Change (%)"/>
    <k n="Currency" t="s"/>
    <k n="From currency" t="s"/>
    <k n="High"/>
    <k n="Instrument type" t="s"/>
    <k n="Last trade time"/>
    <k n="Low"/>
    <k n="Name" t="s"/>
    <k n="Open"/>
    <k n="Previous close"/>
    <k n="Price"/>
    <k n="Ticker symbol" t="s"/>
    <k n="UniqueName" t="s"/>
  </s>
  <s t="_linkedentitycore">
    <k n="%EntityCulture" t="s"/>
    <k n="%EntityId" t="s"/>
    <k n="%EntityServiceId"/>
    <k n="%IsRefreshable" t="b"/>
    <k n="%ProviderInfo" t="s"/>
    <k n="_Display" t="spb"/>
    <k n="_DisplayString" t="s"/>
    <k n="_Flags" t="spb"/>
    <k n="_Format" t="spb"/>
    <k n="_Icon" t="s"/>
    <k n="_SubLabel" t="spb"/>
    <k n="52 week high"/>
    <k n="52 week low"/>
    <k n="Beta"/>
    <k n="Change"/>
    <k n="Change (%)"/>
    <k n="Currency" t="s"/>
    <k n="Exchange" t="s"/>
    <k n="Exchange abbreviation" t="s"/>
    <k n="Expense ratio"/>
    <k n="High"/>
    <k n="Instrument type" t="s"/>
    <k n="Last trade time"/>
    <k n="LearnMoreOnLink" t="r"/>
    <k n="Low"/>
    <k n="Market cap"/>
    <k n="Name" t="s"/>
    <k n="Open"/>
    <k n="Previous close"/>
    <k n="Price"/>
    <k n="Ticker symbol" t="s"/>
    <k n="UniqueName" t="s"/>
    <k n="Volume"/>
    <k n="Volume average"/>
  </s>
  <s t="_linkedentitycore">
    <k n="%EntityCulture" t="s"/>
    <k n="%EntityId" t="s"/>
    <k n="%EntityServiceId"/>
    <k n="%IsRefreshable" t="b"/>
    <k n="%ProviderInfo" t="s"/>
    <k n="_Display" t="spb"/>
    <k n="_DisplayString" t="s"/>
    <k n="_Flags" t="spb"/>
    <k n="_Format" t="spb"/>
    <k n="_Icon" t="s"/>
    <k n="_SubLabel" t="spb"/>
    <k n="52 week high"/>
    <k n="52 week low"/>
    <k n="Beta"/>
    <k n="Change"/>
    <k n="Change (%)"/>
    <k n="Currency" t="s"/>
    <k n="Description" t="s"/>
    <k n="Exchange" t="s"/>
    <k n="Exchange abbreviation" t="s"/>
    <k n="ExchangeID" t="s"/>
    <k n="Headquarters" t="s"/>
    <k n="High"/>
    <k n="Industry" t="s"/>
    <k n="Instrument type" t="s"/>
    <k n="Last trade time"/>
    <k n="Low"/>
    <k n="Market cap"/>
    <k n="Name" t="s"/>
    <k n="Official name" t="s"/>
    <k n="Open"/>
    <k n="P/E"/>
    <k n="Previous close"/>
    <k n="Price"/>
    <k n="Shares outstanding"/>
    <k n="Ticker symbol" t="s"/>
    <k n="UniqueName" t="s"/>
    <k n="Volume"/>
    <k n="Volume average"/>
    <k n="Year incorporated"/>
  </s>
  <s t="_linkedentitycore">
    <k n="%EntityCulture" t="s"/>
    <k n="%EntityId" t="s"/>
    <k n="%EntityServiceId"/>
    <k n="%IsRefreshable" t="b"/>
    <k n="%ProviderInfo" t="s"/>
    <k n="_Display" t="spb"/>
    <k n="_DisplayString" t="s"/>
    <k n="_Flags" t="spb"/>
    <k n="_Format" t="spb"/>
    <k n="_Icon" t="s"/>
    <k n="_SubLabel" t="spb"/>
    <k n="52 week high"/>
    <k n="52 week low"/>
    <k n="Beta"/>
    <k n="Change"/>
    <k n="Change (%)"/>
    <k n="Currency" t="s"/>
    <k n="Exchange" t="s"/>
    <k n="Exchange abbreviation" t="s"/>
    <k n="Expense ratio"/>
    <k n="High"/>
    <k n="Instrument type" t="s"/>
    <k n="Last trade time"/>
    <k n="LearnMoreOnLink" t="r"/>
    <k n="Low"/>
    <k n="Market cap"/>
    <k n="Name" t="s"/>
    <k n="Open"/>
    <k n="Previous close"/>
    <k n="Price"/>
    <k n="Ticker symbol" t="s"/>
    <k n="UniqueName" t="s"/>
    <k n="Volume"/>
  </s>
  <s t="_linkedentitycore">
    <k n="%EntityCulture" t="s"/>
    <k n="%EntityId" t="s"/>
    <k n="%EntityServiceId"/>
    <k n="%IsRefreshable" t="b"/>
    <k n="%ProviderInfo" t="s"/>
    <k n="_Display" t="spb"/>
    <k n="_DisplayString" t="s"/>
    <k n="_Flags" t="spb"/>
    <k n="_Format" t="spb"/>
    <k n="_Icon" t="s"/>
    <k n="_SubLabel" t="spb"/>
    <k n="52 week high"/>
    <k n="52 week low"/>
    <k n="Change"/>
    <k n="Change (%)"/>
    <k n="Currency" t="s"/>
    <k n="Exchange" t="s"/>
    <k n="Exchange abbreviation" t="s"/>
    <k n="Expense ratio"/>
    <k n="High"/>
    <k n="Instrument type" t="s"/>
    <k n="Last trade time"/>
    <k n="LearnMoreOnLink" t="r"/>
    <k n="Low"/>
    <k n="Market cap"/>
    <k n="Name" t="s"/>
    <k n="Open"/>
    <k n="Previous close"/>
    <k n="Price"/>
    <k n="Ticker symbol" t="s"/>
    <k n="UniqueName" t="s"/>
    <k n="Volume"/>
  </s>
  <s t="_linkedentitycore">
    <k n="%EntityCulture" t="s"/>
    <k n="%EntityId" t="s"/>
    <k n="%EntityServiceId"/>
    <k n="%IsRefreshable" t="b"/>
    <k n="%ProviderInfo" t="s"/>
    <k n="_Display" t="spb"/>
    <k n="_DisplayString" t="s"/>
    <k n="_Flags" t="spb"/>
    <k n="_Format" t="spb"/>
    <k n="_Icon" t="s"/>
    <k n="_SubLabel" t="spb"/>
    <k n="52 week high"/>
    <k n="52 week low"/>
    <k n="Beta"/>
    <k n="Change"/>
    <k n="Change (%)"/>
    <k n="Currency" t="s"/>
    <k n="Description" t="s"/>
    <k n="Employees"/>
    <k n="Exchange" t="s"/>
    <k n="Exchange abbreviation" t="s"/>
    <k n="ExchangeID" t="s"/>
    <k n="Headquarters" t="s"/>
    <k n="High"/>
    <k n="Industry" t="s"/>
    <k n="Instrument type" t="s"/>
    <k n="Last trade time"/>
    <k n="Low"/>
    <k n="Market cap"/>
    <k n="Name" t="s"/>
    <k n="Official name" t="s"/>
    <k n="Open"/>
    <k n="Previous close"/>
    <k n="Price"/>
    <k n="Shares outstanding"/>
    <k n="Ticker symbol" t="s"/>
    <k n="UniqueName" t="s"/>
    <k n="Volume"/>
    <k n="Volume average"/>
    <k n="Year incorporated"/>
  </s>
  <s t="_linkedentitycore">
    <k n="%EntityCulture" t="s"/>
    <k n="%EntityId" t="s"/>
    <k n="%EntityServiceId"/>
    <k n="%IsRefreshable" t="b"/>
    <k n="%ProviderInfo" t="s"/>
    <k n="_Display" t="spb"/>
    <k n="_DisplayString" t="s"/>
    <k n="_Flags" t="spb"/>
    <k n="_Format" t="spb"/>
    <k n="_Icon" t="s"/>
    <k n="_SubLabel" t="spb"/>
    <k n="52 week high"/>
    <k n="52 week low"/>
    <k n="Change"/>
    <k n="Change (%)"/>
    <k n="Currency" t="s"/>
    <k n="Exchange" t="s"/>
    <k n="Exchange abbreviation" t="s"/>
    <k n="Expense ratio"/>
    <k n="High"/>
    <k n="Instrument type" t="s"/>
    <k n="Last trade time"/>
    <k n="Low"/>
    <k n="Market cap"/>
    <k n="Name" t="s"/>
    <k n="Open"/>
    <k n="Previous close"/>
    <k n="Price"/>
    <k n="Ticker symbol" t="s"/>
    <k n="UniqueName" t="s"/>
    <k n="Volume"/>
    <k n="Volume average"/>
  </s>
  <s t="_sourceattribution">
    <k n="License" t="r"/>
    <k n="Source" t="r"/>
  </s>
  <s t="_imageurl">
    <k n="_Provider" t="spb"/>
    <k n="Address" t="s"/>
    <k n="Attribution" t="r"/>
    <k n="ComputedImage" t="b"/>
    <k n="More Images Address" t="s"/>
    <k n="Text" t="s"/>
  </s>
  <s t="_linkedentitycore">
    <k n="%EntityCulture" t="s"/>
    <k n="%EntityId" t="s"/>
    <k n="%EntityServiceId"/>
    <k n="%IsRefreshable" t="b"/>
    <k n="%ProviderInfo" t="s"/>
    <k n="_Display" t="spb"/>
    <k n="_DisplayString" t="s"/>
    <k n="_Flags" t="spb"/>
    <k n="_Format" t="spb"/>
    <k n="_Icon" t="s"/>
    <k n="_SubLabel" t="spb"/>
    <k n="52 week high"/>
    <k n="52 week low"/>
    <k n="Beta"/>
    <k n="Change"/>
    <k n="Change (%)"/>
    <k n="Currency" t="s"/>
    <k n="Description" t="s"/>
    <k n="Employees"/>
    <k n="Exchange" t="s"/>
    <k n="Exchange abbreviation" t="s"/>
    <k n="ExchangeID" t="s"/>
    <k n="Headquarters" t="s"/>
    <k n="High"/>
    <k n="Image" t="r"/>
    <k n="Industry" t="s"/>
    <k n="Instrument type" t="s"/>
    <k n="Last trade time"/>
    <k n="LearnMoreOnLink" t="r"/>
    <k n="Low"/>
    <k n="Market cap"/>
    <k n="Name" t="s"/>
    <k n="Official name" t="s"/>
    <k n="Open"/>
    <k n="P/E"/>
    <k n="Previous close"/>
    <k n="Price"/>
    <k n="Shares outstanding"/>
    <k n="Ticker symbol" t="s"/>
    <k n="UniqueName" t="s"/>
    <k n="Volume"/>
    <k n="Volume average"/>
    <k n="Year incorporated"/>
  </s>
  <s t="_linkedentitycore">
    <k n="%EntityCulture" t="s"/>
    <k n="%EntityId" t="s"/>
    <k n="%EntityServiceId"/>
    <k n="%IsRefreshable" t="b"/>
    <k n="%ProviderInfo" t="s"/>
    <k n="_Display" t="spb"/>
    <k n="_DisplayString" t="s"/>
    <k n="_Flags" t="spb"/>
    <k n="_Format" t="spb"/>
    <k n="_Icon" t="s"/>
    <k n="_SubLabel" t="spb"/>
    <k n="52 week high"/>
    <k n="52 week low"/>
    <k n="Beta"/>
    <k n="Change"/>
    <k n="Change (%)"/>
    <k n="Currency" t="s"/>
    <k n="Exchange" t="s"/>
    <k n="Exchange abbreviation" t="s"/>
    <k n="Expense ratio"/>
    <k n="High"/>
    <k n="Instrument type" t="s"/>
    <k n="Last trade time"/>
    <k n="Low"/>
    <k n="Market cap"/>
    <k n="Name" t="s"/>
    <k n="Open"/>
    <k n="Previous close"/>
    <k n="Price"/>
    <k n="Ticker symbol" t="s"/>
    <k n="UniqueName" t="s"/>
    <k n="Volume"/>
    <k n="Volume average"/>
  </s>
  <s t="_linkedentitycore">
    <k n="%EntityCulture" t="s"/>
    <k n="%EntityId" t="s"/>
    <k n="%EntityServiceId"/>
    <k n="%IsRefreshable" t="b"/>
    <k n="%ProviderInfo" t="s"/>
    <k n="_Display" t="spb"/>
    <k n="_DisplayString" t="s"/>
    <k n="_Flags" t="spb"/>
    <k n="_Format" t="spb"/>
    <k n="_Icon" t="s"/>
    <k n="_SubLabel" t="spb"/>
    <k n="52 week high"/>
    <k n="52 week low"/>
    <k n="Beta"/>
    <k n="Change"/>
    <k n="Change (%)"/>
    <k n="Currency" t="s"/>
    <k n="Description" t="s"/>
    <k n="Employees"/>
    <k n="Exchange" t="s"/>
    <k n="Exchange abbreviation" t="s"/>
    <k n="ExchangeID" t="s"/>
    <k n="Headquarters" t="s"/>
    <k n="High"/>
    <k n="Industry" t="s"/>
    <k n="Instrument type" t="s"/>
    <k n="Last trade time"/>
    <k n="Low"/>
    <k n="Market cap"/>
    <k n="Name" t="s"/>
    <k n="Official name" t="s"/>
    <k n="Open"/>
    <k n="P/E"/>
    <k n="Previous close"/>
    <k n="Price"/>
    <k n="Shares outstanding"/>
    <k n="Ticker symbol" t="s"/>
    <k n="UniqueName" t="s"/>
    <k n="Volume"/>
    <k n="Volume average"/>
    <k n="Year incorporated"/>
  </s>
</rvStructures>
</file>

<file path=xl/richData/rdsupportingpropertybag.xml><?xml version="1.0" encoding="utf-8"?>
<supportingPropertyBags xmlns="http://schemas.microsoft.com/office/spreadsheetml/2017/richdata2">
  <spbArrays count="11">
    <a count="42">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Volume average</v>
      <v t="s">Market cap</v>
      <v t="s">Beta</v>
      <v t="s">P/E</v>
      <v t="s">Shares outstanding</v>
      <v t="s">Description</v>
      <v t="s">Employees</v>
      <v t="s">Headquarters</v>
      <v t="s">Industry</v>
      <v t="s">Instrument type</v>
      <v t="s">Year incorporated</v>
      <v t="s">_Flags</v>
      <v t="s">UniqueName</v>
      <v t="s">_DisplayString</v>
      <v t="s">LearnMoreOnLink</v>
      <v t="s">ExchangeID</v>
      <v t="s">%ProviderInfo</v>
    </a>
    <a count="27">
      <v t="s">%EntityServiceId</v>
      <v t="s">_Format</v>
      <v t="s">%IsRefreshable</v>
      <v t="s">%EntityCulture</v>
      <v t="s">%EntityId</v>
      <v t="s">_Icon</v>
      <v t="s">_Display</v>
      <v t="s">Name</v>
      <v t="s">Price</v>
      <v t="s">_SubLabel</v>
      <v t="s">Last trade time</v>
      <v t="s">Ticker symbol</v>
      <v t="s">Change</v>
      <v t="s">Change (%)</v>
      <v t="s">Currency</v>
      <v t="s">From currency</v>
      <v t="s">Previous close</v>
      <v t="s">Open</v>
      <v t="s">High</v>
      <v t="s">Low</v>
      <v t="s">52 week high</v>
      <v t="s">52 week low</v>
      <v t="s">Instrument type</v>
      <v t="s">_Flags</v>
      <v t="s">UniqueName</v>
      <v t="s">_DisplayString</v>
      <v t="s">%ProviderInfo</v>
    </a>
    <a count="34">
      <v t="s">%EntityServiceId</v>
      <v t="s">_Format</v>
      <v t="s">%IsRefreshable</v>
      <v t="s">%EntityCulture</v>
      <v t="s">%EntityId</v>
      <v t="s">_Icon</v>
      <v t="s">_Display</v>
      <v t="s">Name</v>
      <v t="s">_SubLabel</v>
      <v t="s">Price</v>
      <v t="s">Exchange</v>
      <v t="s">Last trade time</v>
      <v t="s">Ticker symbol</v>
      <v t="s">Exchange abbreviation</v>
      <v t="s">Change</v>
      <v t="s">Expense ratio</v>
      <v t="s">Change (%)</v>
      <v t="s">Currency</v>
      <v t="s">Previous close</v>
      <v t="s">Open</v>
      <v t="s">High</v>
      <v t="s">Low</v>
      <v t="s">52 week high</v>
      <v t="s">52 week low</v>
      <v t="s">Volume</v>
      <v t="s">Volume average</v>
      <v t="s">Market cap</v>
      <v t="s">Beta</v>
      <v t="s">Instrument type</v>
      <v t="s">_Flags</v>
      <v t="s">UniqueName</v>
      <v t="s">_DisplayString</v>
      <v t="s">LearnMoreOnLink</v>
      <v t="s">%ProviderInfo</v>
    </a>
    <a count="40">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Volume average</v>
      <v t="s">Market cap</v>
      <v t="s">Beta</v>
      <v t="s">P/E</v>
      <v t="s">Shares outstanding</v>
      <v t="s">Description</v>
      <v t="s">Headquarters</v>
      <v t="s">Industry</v>
      <v t="s">Instrument type</v>
      <v t="s">Year incorporated</v>
      <v t="s">_Flags</v>
      <v t="s">UniqueName</v>
      <v t="s">_DisplayString</v>
      <v t="s">ExchangeID</v>
      <v t="s">%ProviderInfo</v>
    </a>
    <a count="33">
      <v t="s">%EntityServiceId</v>
      <v t="s">_Format</v>
      <v t="s">%IsRefreshable</v>
      <v t="s">%EntityCulture</v>
      <v t="s">%EntityId</v>
      <v t="s">_Icon</v>
      <v t="s">_Display</v>
      <v t="s">Name</v>
      <v t="s">_SubLabel</v>
      <v t="s">Price</v>
      <v t="s">Exchange</v>
      <v t="s">Last trade time</v>
      <v t="s">Ticker symbol</v>
      <v t="s">Exchange abbreviation</v>
      <v t="s">Change</v>
      <v t="s">Expense ratio</v>
      <v t="s">Change (%)</v>
      <v t="s">Currency</v>
      <v t="s">Previous close</v>
      <v t="s">Open</v>
      <v t="s">High</v>
      <v t="s">Low</v>
      <v t="s">52 week high</v>
      <v t="s">52 week low</v>
      <v t="s">Volume</v>
      <v t="s">Market cap</v>
      <v t="s">Beta</v>
      <v t="s">Instrument type</v>
      <v t="s">_Flags</v>
      <v t="s">UniqueName</v>
      <v t="s">_DisplayString</v>
      <v t="s">LearnMoreOnLink</v>
      <v t="s">%ProviderInfo</v>
    </a>
    <a count="32">
      <v t="s">%EntityServiceId</v>
      <v t="s">_Format</v>
      <v t="s">%IsRefreshable</v>
      <v t="s">%EntityCulture</v>
      <v t="s">%EntityId</v>
      <v t="s">_Icon</v>
      <v t="s">_Display</v>
      <v t="s">Name</v>
      <v t="s">Price</v>
      <v t="s">Exchange</v>
      <v t="s">_SubLabel</v>
      <v t="s">Last trade time</v>
      <v t="s">Ticker symbol</v>
      <v t="s">Exchange abbreviation</v>
      <v t="s">Change</v>
      <v t="s">Expense ratio</v>
      <v t="s">Change (%)</v>
      <v t="s">Currency</v>
      <v t="s">Previous close</v>
      <v t="s">Open</v>
      <v t="s">High</v>
      <v t="s">Low</v>
      <v t="s">52 week high</v>
      <v t="s">52 week low</v>
      <v t="s">Volume</v>
      <v t="s">Market cap</v>
      <v t="s">Instrument type</v>
      <v t="s">_Flags</v>
      <v t="s">UniqueName</v>
      <v t="s">_DisplayString</v>
      <v t="s">LearnMoreOnLink</v>
      <v t="s">%ProviderInfo</v>
    </a>
    <a count="40">
      <v t="s">%EntityServiceId</v>
      <v t="s">_Format</v>
      <v t="s">%IsRefreshable</v>
      <v t="s">%EntityCulture</v>
      <v t="s">%EntityId</v>
      <v t="s">_Icon</v>
      <v t="s">_Display</v>
      <v t="s">Name</v>
      <v t="s">Price</v>
      <v t="s">Exchange</v>
      <v t="s">Official name</v>
      <v t="s">_SubLabel</v>
      <v t="s">Last trade time</v>
      <v t="s">Ticker symbol</v>
      <v t="s">Exchange abbreviation</v>
      <v t="s">Change</v>
      <v t="s">Change (%)</v>
      <v t="s">Currency</v>
      <v t="s">Previous close</v>
      <v t="s">Open</v>
      <v t="s">High</v>
      <v t="s">Low</v>
      <v t="s">52 week high</v>
      <v t="s">52 week low</v>
      <v t="s">Volume</v>
      <v t="s">Volume average</v>
      <v t="s">Market cap</v>
      <v t="s">Beta</v>
      <v t="s">Shares outstanding</v>
      <v t="s">Description</v>
      <v t="s">Employees</v>
      <v t="s">Headquarters</v>
      <v t="s">Industry</v>
      <v t="s">Instrument type</v>
      <v t="s">Year incorporated</v>
      <v t="s">_Flags</v>
      <v t="s">UniqueName</v>
      <v t="s">_DisplayString</v>
      <v t="s">ExchangeID</v>
      <v t="s">%ProviderInfo</v>
    </a>
    <a count="32">
      <v t="s">%EntityServiceId</v>
      <v t="s">_Format</v>
      <v t="s">%IsRefreshable</v>
      <v t="s">%EntityCulture</v>
      <v t="s">%EntityId</v>
      <v t="s">_Icon</v>
      <v t="s">_Display</v>
      <v t="s">Name</v>
      <v t="s">_SubLabel</v>
      <v t="s">Price</v>
      <v t="s">Exchange</v>
      <v t="s">Last trade time</v>
      <v t="s">Ticker symbol</v>
      <v t="s">Exchange abbreviation</v>
      <v t="s">Change</v>
      <v t="s">Expense ratio</v>
      <v t="s">Change (%)</v>
      <v t="s">Currency</v>
      <v t="s">Previous close</v>
      <v t="s">Open</v>
      <v t="s">High</v>
      <v t="s">Low</v>
      <v t="s">52 week high</v>
      <v t="s">52 week low</v>
      <v t="s">Volume</v>
      <v t="s">Volume average</v>
      <v t="s">Market cap</v>
      <v t="s">Instrument type</v>
      <v t="s">_Flags</v>
      <v t="s">UniqueName</v>
      <v t="s">_DisplayString</v>
      <v t="s">%ProviderInfo</v>
    </a>
    <a count="43">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Volume average</v>
      <v t="s">Market cap</v>
      <v t="s">Beta</v>
      <v t="s">P/E</v>
      <v t="s">Shares outstanding</v>
      <v t="s">Description</v>
      <v t="s">Employees</v>
      <v t="s">Headquarters</v>
      <v t="s">Industry</v>
      <v t="s">Instrument type</v>
      <v t="s">Year incorporated</v>
      <v t="s">_Flags</v>
      <v t="s">UniqueName</v>
      <v t="s">_DisplayString</v>
      <v t="s">LearnMoreOnLink</v>
      <v t="s">Image</v>
      <v t="s">ExchangeID</v>
      <v t="s">%ProviderInfo</v>
    </a>
    <a count="33">
      <v t="s">%EntityServiceId</v>
      <v t="s">_Format</v>
      <v t="s">%IsRefreshable</v>
      <v t="s">%EntityCulture</v>
      <v t="s">%EntityId</v>
      <v t="s">_Icon</v>
      <v t="s">_Display</v>
      <v t="s">Name</v>
      <v t="s">_SubLabel</v>
      <v t="s">Price</v>
      <v t="s">Exchange</v>
      <v t="s">Last trade time</v>
      <v t="s">Ticker symbol</v>
      <v t="s">Exchange abbreviation</v>
      <v t="s">Change</v>
      <v t="s">Expense ratio</v>
      <v t="s">Change (%)</v>
      <v t="s">Currency</v>
      <v t="s">Previous close</v>
      <v t="s">Open</v>
      <v t="s">High</v>
      <v t="s">Low</v>
      <v t="s">52 week high</v>
      <v t="s">52 week low</v>
      <v t="s">Volume</v>
      <v t="s">Volume average</v>
      <v t="s">Market cap</v>
      <v t="s">Beta</v>
      <v t="s">Instrument type</v>
      <v t="s">_Flags</v>
      <v t="s">UniqueName</v>
      <v t="s">_DisplayString</v>
      <v t="s">%ProviderInfo</v>
    </a>
    <a count="41">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Volume average</v>
      <v t="s">Market cap</v>
      <v t="s">Beta</v>
      <v t="s">P/E</v>
      <v t="s">Shares outstanding</v>
      <v t="s">Description</v>
      <v t="s">Employees</v>
      <v t="s">Headquarters</v>
      <v t="s">Industry</v>
      <v t="s">Instrument type</v>
      <v t="s">Year incorporated</v>
      <v t="s">_Flags</v>
      <v t="s">UniqueName</v>
      <v t="s">_DisplayString</v>
      <v t="s">ExchangeID</v>
      <v t="s">%ProviderInfo</v>
    </a>
  </spbArrays>
  <spbData count="33">
    <spb s="0">
      <v>0</v>
      <v>Name</v>
      <v>LearnMoreOnLink</v>
    </spb>
    <spb s="1">
      <v>0</v>
      <v>0</v>
      <v>0</v>
    </spb>
    <spb s="2">
      <v>1</v>
      <v>1</v>
      <v>1</v>
      <v>1</v>
    </spb>
    <spb s="3">
      <v>1</v>
      <v>2</v>
      <v>2</v>
      <v>1</v>
      <v>3</v>
      <v>1</v>
      <v>1</v>
      <v>1</v>
      <v>4</v>
      <v>4</v>
      <v>5</v>
      <v>6</v>
      <v>1</v>
      <v>1</v>
      <v>1</v>
      <v>4</v>
      <v>7</v>
      <v>8</v>
      <v>9</v>
      <v>4</v>
    </spb>
    <spb s="4">
      <v>Real-Time Nasdaq Last Sale</v>
      <v>from previous close</v>
      <v>from previous close</v>
      <v>Source: Nasdaq Last Sale</v>
      <v>GMT</v>
    </spb>
    <spb s="5">
      <v>1</v>
      <v>Name</v>
    </spb>
    <spb s="6">
      <v>1</v>
      <v>1</v>
    </spb>
    <spb s="7">
      <v>10</v>
      <v>10</v>
      <v>3</v>
      <v>10</v>
      <v>10</v>
      <v>10</v>
      <v>5</v>
      <v>10</v>
      <v>10</v>
      <v>10</v>
      <v>7</v>
      <v>9</v>
    </spb>
    <spb s="8">
      <v>GMT</v>
    </spb>
    <spb s="0">
      <v>2</v>
      <v>Name</v>
      <v>LearnMoreOnLink</v>
    </spb>
    <spb s="9">
      <v>1</v>
      <v>1</v>
      <v>1</v>
    </spb>
    <spb s="10">
      <v>1</v>
      <v>2</v>
      <v>1</v>
      <v>3</v>
      <v>1</v>
      <v>1</v>
      <v>1</v>
      <v>4</v>
      <v>5</v>
      <v>6</v>
      <v>1</v>
      <v>1</v>
      <v>5</v>
      <v>1</v>
      <v>4</v>
      <v>7</v>
      <v>9</v>
    </spb>
    <spb s="11">
      <v>Real-Time Nasdaq Last Sale</v>
      <v>from previous close</v>
      <v>Source: Nasdaq Last Sale</v>
      <v>from previous close</v>
      <v>GMT</v>
    </spb>
    <spb s="5">
      <v>3</v>
      <v>Name</v>
    </spb>
    <spb s="12">
      <v>1</v>
      <v>1</v>
      <v>1</v>
    </spb>
    <spb s="13">
      <v>1</v>
      <v>2</v>
      <v>2</v>
      <v>1</v>
      <v>3</v>
      <v>1</v>
      <v>1</v>
      <v>1</v>
      <v>4</v>
      <v>5</v>
      <v>6</v>
      <v>1</v>
      <v>1</v>
      <v>1</v>
      <v>4</v>
      <v>7</v>
      <v>8</v>
      <v>9</v>
      <v>4</v>
    </spb>
    <spb s="0">
      <v>4</v>
      <v>Name</v>
      <v>LearnMoreOnLink</v>
    </spb>
    <spb s="14">
      <v>1</v>
      <v>2</v>
      <v>1</v>
      <v>3</v>
      <v>1</v>
      <v>1</v>
      <v>1</v>
      <v>4</v>
      <v>5</v>
      <v>6</v>
      <v>1</v>
      <v>1</v>
      <v>5</v>
      <v>1</v>
      <v>7</v>
      <v>9</v>
    </spb>
    <spb s="11">
      <v>Delayed 15 minutes</v>
      <v>from previous close</v>
      <v>LSE</v>
      <v>from previous close</v>
      <v>GMT</v>
    </spb>
    <spb s="0">
      <v>5</v>
      <v>Name</v>
      <v>LearnMoreOnLink</v>
    </spb>
    <spb s="15">
      <v>11</v>
      <v>11</v>
      <v>3</v>
      <v>11</v>
      <v>11</v>
      <v>11</v>
      <v>4</v>
      <v>5</v>
      <v>12</v>
      <v>11</v>
      <v>11</v>
      <v>5</v>
      <v>11</v>
      <v>7</v>
      <v>9</v>
    </spb>
    <spb s="16">
      <v>from previous close</v>
      <v>from previous close</v>
      <v>GMT</v>
    </spb>
    <spb s="5">
      <v>6</v>
      <v>Name</v>
    </spb>
    <spb s="17">
      <v>13</v>
      <v>2</v>
      <v>13</v>
      <v>3</v>
      <v>13</v>
      <v>13</v>
      <v>13</v>
      <v>4</v>
      <v>4</v>
      <v>5</v>
      <v>6</v>
      <v>13</v>
      <v>13</v>
      <v>13</v>
      <v>4</v>
      <v>7</v>
      <v>8</v>
      <v>9</v>
      <v>4</v>
    </spb>
    <spb s="5">
      <v>7</v>
      <v>Name</v>
    </spb>
    <spb s="18">
      <v>1</v>
      <v>1</v>
      <v>3</v>
      <v>1</v>
      <v>1</v>
      <v>1</v>
      <v>4</v>
      <v>5</v>
      <v>6</v>
      <v>1</v>
      <v>1</v>
      <v>5</v>
      <v>1</v>
      <v>4</v>
      <v>7</v>
      <v>9</v>
    </spb>
    <spb s="0">
      <v>8</v>
      <v>Name</v>
      <v>LearnMoreOnLink</v>
    </spb>
    <spb s="19">
      <v>0</v>
      <v>0</v>
    </spb>
    <spb s="20">
      <v>27</v>
      <v>1</v>
      <v>1</v>
      <v>1</v>
      <v>1</v>
    </spb>
    <spb s="21">
      <v>1</v>
      <v>2</v>
      <v>2</v>
      <v>1</v>
      <v>3</v>
      <v>1</v>
      <v>14</v>
      <v>1</v>
      <v>1</v>
      <v>4</v>
      <v>4</v>
      <v>5</v>
      <v>6</v>
      <v>1</v>
      <v>1</v>
      <v>1</v>
      <v>4</v>
      <v>7</v>
      <v>8</v>
      <v>9</v>
      <v>4</v>
    </spb>
    <spb s="22">
      <v>Powered by Refinitiv</v>
    </spb>
    <spb s="5">
      <v>9</v>
      <v>Name</v>
    </spb>
    <spb s="5">
      <v>10</v>
      <v>Name</v>
    </spb>
  </spbData>
</supportingPropertyBags>
</file>

<file path=xl/richData/rdsupportingpropertybagstructure.xml><?xml version="1.0" encoding="utf-8"?>
<spbStructures xmlns="http://schemas.microsoft.com/office/spreadsheetml/2017/richdata2" count="23">
  <s>
    <k n="^Order" t="spba"/>
    <k n="TitleProperty" t="s"/>
    <k n="SubTitleProperty" t="s"/>
  </s>
  <s>
    <k n="ShowInCardView" t="b"/>
    <k n="ShowInDotNotation" t="b"/>
    <k n="ShowInAutoComplete" t="b"/>
  </s>
  <s>
    <k n="ExchangeID" t="spb"/>
    <k n="UniqueName" t="spb"/>
    <k n="`%ProviderInfo" t="spb"/>
    <k n="LearnMoreOnLink" t="spb"/>
  </s>
  <s>
    <k n="Low" t="i"/>
    <k n="P/E" t="i"/>
    <k n="Beta" t="i"/>
    <k n="High" t="i"/>
    <k n="Name" t="i"/>
    <k n="Open" t="i"/>
    <k n="Price" t="i"/>
    <k n="Change" t="i"/>
    <k n="Volume" t="i"/>
    <k n="Employees" t="i"/>
    <k n="Change (%)" t="i"/>
    <k n="Market cap" t="i"/>
    <k n="52 week low" t="i"/>
    <k n="52 week high" t="i"/>
    <k n="Previous close" t="i"/>
    <k n="Volume average" t="i"/>
    <k n="Last trade time" t="i"/>
    <k n="Year incorporated" t="i"/>
    <k n="`%EntityServiceId" t="i"/>
    <k n="Shares outstanding" t="i"/>
  </s>
  <s>
    <k n="Price" t="s"/>
    <k n="Change" t="s"/>
    <k n="Change (%)" t="s"/>
    <k n="ExchangeID" t="s"/>
    <k n="Last trade time" t="s"/>
  </s>
  <s>
    <k n="^Order" t="spba"/>
    <k n="TitleProperty" t="s"/>
  </s>
  <s>
    <k n="UniqueName" t="spb"/>
    <k n="`%ProviderInfo" t="spb"/>
  </s>
  <s>
    <k n="Low" t="i"/>
    <k n="High" t="i"/>
    <k n="Name" t="i"/>
    <k n="Open" t="i"/>
    <k n="Price" t="i"/>
    <k n="Change" t="i"/>
    <k n="Change (%)" t="i"/>
    <k n="52 week low" t="i"/>
    <k n="52 week high" t="i"/>
    <k n="Previous close" t="i"/>
    <k n="Last trade time" t="i"/>
    <k n="`%EntityServiceId" t="i"/>
  </s>
  <s>
    <k n="Last trade time" t="s"/>
  </s>
  <s>
    <k n="UniqueName" t="spb"/>
    <k n="`%ProviderInfo" t="spb"/>
    <k n="LearnMoreOnLink" t="spb"/>
  </s>
  <s>
    <k n="Low" t="i"/>
    <k n="Beta" t="i"/>
    <k n="High" t="i"/>
    <k n="Name" t="i"/>
    <k n="Open" t="i"/>
    <k n="Price" t="i"/>
    <k n="Change" t="i"/>
    <k n="Volume" t="i"/>
    <k n="Change (%)" t="i"/>
    <k n="Market cap" t="i"/>
    <k n="52 week low" t="i"/>
    <k n="52 week high" t="i"/>
    <k n="Expense ratio" t="i"/>
    <k n="Previous close" t="i"/>
    <k n="Volume average" t="i"/>
    <k n="Last trade time" t="i"/>
    <k n="`%EntityServiceId" t="i"/>
  </s>
  <s>
    <k n="Price" t="s"/>
    <k n="Change" t="s"/>
    <k n="Exchange" t="s"/>
    <k n="Change (%)" t="s"/>
    <k n="Last trade time" t="s"/>
  </s>
  <s>
    <k n="ExchangeID" t="spb"/>
    <k n="UniqueName" t="spb"/>
    <k n="`%ProviderInfo" t="spb"/>
  </s>
  <s>
    <k n="Low" t="i"/>
    <k n="P/E" t="i"/>
    <k n="Beta" t="i"/>
    <k n="High" t="i"/>
    <k n="Name" t="i"/>
    <k n="Open" t="i"/>
    <k n="Price" t="i"/>
    <k n="Change" t="i"/>
    <k n="Volume" t="i"/>
    <k n="Change (%)" t="i"/>
    <k n="Market cap" t="i"/>
    <k n="52 week low" t="i"/>
    <k n="52 week high" t="i"/>
    <k n="Previous close" t="i"/>
    <k n="Volume average" t="i"/>
    <k n="Last trade time" t="i"/>
    <k n="Year incorporated" t="i"/>
    <k n="`%EntityServiceId" t="i"/>
    <k n="Shares outstanding" t="i"/>
  </s>
  <s>
    <k n="Low" t="i"/>
    <k n="Beta" t="i"/>
    <k n="High" t="i"/>
    <k n="Name" t="i"/>
    <k n="Open" t="i"/>
    <k n="Price" t="i"/>
    <k n="Change" t="i"/>
    <k n="Volume" t="i"/>
    <k n="Change (%)" t="i"/>
    <k n="Market cap" t="i"/>
    <k n="52 week low" t="i"/>
    <k n="52 week high" t="i"/>
    <k n="Expense ratio" t="i"/>
    <k n="Previous close" t="i"/>
    <k n="Last trade time" t="i"/>
    <k n="`%EntityServiceId" t="i"/>
  </s>
  <s>
    <k n="Low" t="i"/>
    <k n="High" t="i"/>
    <k n="Name" t="i"/>
    <k n="Open" t="i"/>
    <k n="Price" t="i"/>
    <k n="Change" t="i"/>
    <k n="Volume" t="i"/>
    <k n="Change (%)" t="i"/>
    <k n="Market cap" t="i"/>
    <k n="52 week low" t="i"/>
    <k n="52 week high" t="i"/>
    <k n="Expense ratio" t="i"/>
    <k n="Previous close" t="i"/>
    <k n="Last trade time" t="i"/>
    <k n="`%EntityServiceId" t="i"/>
  </s>
  <s>
    <k n="Change" t="s"/>
    <k n="Change (%)" t="s"/>
    <k n="Last trade time" t="s"/>
  </s>
  <s>
    <k n="Low" t="i"/>
    <k n="Beta" t="i"/>
    <k n="High" t="i"/>
    <k n="Name" t="i"/>
    <k n="Open" t="i"/>
    <k n="Price" t="i"/>
    <k n="Change" t="i"/>
    <k n="Volume" t="i"/>
    <k n="Employees" t="i"/>
    <k n="Change (%)" t="i"/>
    <k n="Market cap" t="i"/>
    <k n="52 week low" t="i"/>
    <k n="52 week high" t="i"/>
    <k n="Previous close" t="i"/>
    <k n="Volume average" t="i"/>
    <k n="Last trade time" t="i"/>
    <k n="Year incorporated" t="i"/>
    <k n="`%EntityServiceId" t="i"/>
    <k n="Shares outstanding" t="i"/>
  </s>
  <s>
    <k n="Low" t="i"/>
    <k n="High" t="i"/>
    <k n="Name" t="i"/>
    <k n="Open" t="i"/>
    <k n="Price" t="i"/>
    <k n="Change" t="i"/>
    <k n="Volume" t="i"/>
    <k n="Change (%)" t="i"/>
    <k n="Market cap" t="i"/>
    <k n="52 week low" t="i"/>
    <k n="52 week high" t="i"/>
    <k n="Expense ratio" t="i"/>
    <k n="Previous close" t="i"/>
    <k n="Volume average" t="i"/>
    <k n="Last trade time" t="i"/>
    <k n="`%EntityServiceId" t="i"/>
  </s>
  <s>
    <k n="ShowInDotNotation" t="b"/>
    <k n="ShowInAutoComplete" t="b"/>
  </s>
  <s>
    <k n="Image" t="spb"/>
    <k n="ExchangeID" t="spb"/>
    <k n="UniqueName" t="spb"/>
    <k n="`%ProviderInfo" t="spb"/>
    <k n="LearnMoreOnLink" t="spb"/>
  </s>
  <s>
    <k n="Low" t="i"/>
    <k n="P/E" t="i"/>
    <k n="Beta" t="i"/>
    <k n="High" t="i"/>
    <k n="Name" t="i"/>
    <k n="Open" t="i"/>
    <k n="Image" t="i"/>
    <k n="Price" t="i"/>
    <k n="Change" t="i"/>
    <k n="Volume" t="i"/>
    <k n="Employees" t="i"/>
    <k n="Change (%)" t="i"/>
    <k n="Market cap" t="i"/>
    <k n="52 week low" t="i"/>
    <k n="52 week high" t="i"/>
    <k n="Previous close" t="i"/>
    <k n="Volume average" t="i"/>
    <k n="Last trade time" t="i"/>
    <k n="Year incorporated" t="i"/>
    <k n="`%EntityServiceId" t="i"/>
    <k n="Shares outstanding" t="i"/>
  </s>
  <s>
    <k n="name" t="s"/>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9">
    <x:dxf>
      <x:numFmt numFmtId="2" formatCode="0.00"/>
    </x:dxf>
    <x:dxf>
      <x:numFmt numFmtId="0" formatCode="General"/>
    </x:dxf>
    <x:dxf>
      <x:numFmt numFmtId="27" formatCode="m/d/yyyy\ h:mm"/>
    </x:dxf>
    <x:dxf>
      <x:numFmt numFmtId="14" formatCode="0.00%"/>
    </x:dxf>
    <x:dxf>
      <x:numFmt numFmtId="3" formatCode="#,##0"/>
    </x:dxf>
    <x:dxf>
      <x:numFmt numFmtId="4" formatCode="#,##0.00"/>
    </x:dxf>
    <x:dxf>
      <x:numFmt numFmtId="1" formatCode="0"/>
    </x:dxf>
    <x:dxf>
      <x:numFmt numFmtId="35" formatCode="_(* #,##0.00_);_(* \(#,##0.00\);_(* &quot;-&quot;??_);_(@_)"/>
    </x:dxf>
    <x:dxf>
      <x:numFmt numFmtId="33" formatCode="_(* #,##0_);_(* \(#,##0\);_(* &quot;-&quot;_);_(@_)"/>
    </x:dxf>
  </dxfs>
  <richProperties>
    <rPr n="NumberFormat" t="s"/>
    <rPr n="IsTitleField" t="b"/>
    <rPr n="IsHeroField" t="b"/>
  </richProperties>
  <richStyles>
    <rSty dxfid="1">
      <rpv i="0">_([$$-en-US]* #,##0.00_);_([$$-en-US]* (#,##0.00);_([$$-en-US]* "-"??_);_(@_)</rpv>
    </rSty>
    <rSty dxfid="5">
      <rpv i="0">#,##0.00</rpv>
    </rSty>
    <rSty>
      <rpv i="1">1</rpv>
    </rSty>
    <rSty dxfid="4">
      <rpv i="0">#,##0</rpv>
    </rSty>
    <rSty dxfid="3"/>
    <rSty dxfid="1">
      <rpv i="0">_([$$-en-US]* #,##0_);_([$$-en-US]* (#,##0);_([$$-en-US]* "-"_);_(@_)</rpv>
    </rSty>
    <rSty dxfid="2"/>
    <rSty dxfid="6">
      <rpv i="0">0</rpv>
    </rSty>
    <rSty dxfid="0">
      <rpv i="0">0.00</rpv>
    </rSty>
    <rSty dxfid="1">
      <rpv i="0" xml:space="preserve">_ [$₪-he-IL] * #,##0.00_ ;_ [$₪-he-IL] * -#,##0.00_ ;_ [$₪-he-IL] * "-"??_ ;_ @_ </rpv>
    </rSty>
    <rSty dxfid="7">
      <rpv i="0">_(* #,##0.00_);_(* (#,##0.00);_(* "-"??_);_(@_)</rpv>
    </rSty>
    <rSty dxfid="8">
      <rpv i="0">_(* #,##0_);_(* (#,##0);_(* "-"_);_(@_)</rpv>
    </rSty>
    <rSty dxfid="1">
      <rpv i="0">_-[$$-en-CA]* #,##0.00_-;-[$$-en-CA]* #,##0.00_-;_-[$$-en-CA]* "-"??_-;_-@_-</rpv>
    </rSty>
    <rSty>
      <rpv i="2">1</rpv>
    </rSty>
  </richStyles>
</richStyleSheet>
</file>

<file path=xl/theme/theme1.xml><?xml version="1.0" encoding="utf-8"?>
<a:theme xmlns:a="http://schemas.openxmlformats.org/drawingml/2006/main" name="ערכת נושא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6F2ABD-03F4-4D79-9D70-0BAF17F2DAAE}">
  <dimension ref="A1:Z67"/>
  <sheetViews>
    <sheetView tabSelected="1" topLeftCell="F1" zoomScaleNormal="100" workbookViewId="0">
      <selection activeCell="O6" sqref="O6"/>
    </sheetView>
  </sheetViews>
  <sheetFormatPr defaultRowHeight="13.8" x14ac:dyDescent="0.25"/>
  <cols>
    <col min="2" max="2" width="6.19921875" bestFit="1" customWidth="1"/>
    <col min="3" max="3" width="12.19921875" bestFit="1" customWidth="1"/>
    <col min="4" max="4" width="15.09765625" bestFit="1" customWidth="1"/>
    <col min="5" max="5" width="11.3984375" bestFit="1" customWidth="1"/>
    <col min="6" max="6" width="6.8984375" bestFit="1" customWidth="1"/>
    <col min="7" max="7" width="3.59765625" customWidth="1"/>
    <col min="8" max="8" width="13" style="35" bestFit="1" customWidth="1"/>
    <col min="9" max="9" width="12.19921875" bestFit="1" customWidth="1"/>
    <col min="10" max="10" width="10" bestFit="1" customWidth="1"/>
    <col min="11" max="12" width="11.296875" bestFit="1" customWidth="1"/>
    <col min="13" max="13" width="14.09765625" bestFit="1" customWidth="1"/>
    <col min="14" max="14" width="8.09765625" hidden="1" customWidth="1"/>
    <col min="15" max="15" width="15.296875" bestFit="1" customWidth="1"/>
    <col min="16" max="16" width="12.09765625" bestFit="1" customWidth="1"/>
    <col min="17" max="17" width="13" bestFit="1" customWidth="1"/>
    <col min="18" max="18" width="12.19921875" bestFit="1" customWidth="1"/>
    <col min="19" max="19" width="13" customWidth="1"/>
    <col min="20" max="20" width="13.8984375" bestFit="1" customWidth="1"/>
    <col min="21" max="21" width="10.19921875" customWidth="1"/>
    <col min="22" max="22" width="3.19921875" bestFit="1" customWidth="1"/>
  </cols>
  <sheetData>
    <row r="1" spans="1:24" ht="16.2" thickBot="1" x14ac:dyDescent="0.4">
      <c r="A1" s="79"/>
      <c r="B1" s="79"/>
      <c r="C1" s="79"/>
      <c r="D1" s="79"/>
      <c r="E1" s="79"/>
      <c r="F1" s="79"/>
      <c r="G1" s="79"/>
      <c r="H1" s="78"/>
      <c r="I1" s="79"/>
      <c r="J1" s="79"/>
      <c r="K1" s="79"/>
      <c r="L1" s="121" t="s">
        <v>38</v>
      </c>
      <c r="M1" s="122"/>
      <c r="N1" s="83"/>
      <c r="O1" s="83"/>
      <c r="P1" s="83"/>
      <c r="Q1" s="121" t="s">
        <v>37</v>
      </c>
      <c r="R1" s="122"/>
      <c r="S1" s="83"/>
      <c r="T1" s="129" t="s">
        <v>39</v>
      </c>
      <c r="U1" s="129"/>
      <c r="V1" s="129"/>
      <c r="W1" s="79"/>
      <c r="X1" s="79"/>
    </row>
    <row r="2" spans="1:24" ht="16.2" thickBot="1" x14ac:dyDescent="0.4">
      <c r="A2" s="79"/>
      <c r="B2" s="79"/>
      <c r="C2" s="79"/>
      <c r="D2" s="79"/>
      <c r="E2" s="79"/>
      <c r="F2" s="79"/>
      <c r="G2" s="83" t="e" vm="1">
        <v>#VALUE!</v>
      </c>
      <c r="H2" s="78"/>
      <c r="I2" s="79"/>
      <c r="J2" s="79"/>
      <c r="K2" s="79"/>
      <c r="L2" s="19" cm="1">
        <f t="array" aca="1" ref="L2" ca="1">_FV(P2,"Change")</f>
        <v>2.0999999999999999E-3</v>
      </c>
      <c r="M2" s="43" cm="1">
        <f t="array" aca="1" ref="M2" ca="1">_FV(P2,"Price")</f>
        <v>3.0895000000000001</v>
      </c>
      <c r="P2" s="84" t="e" vm="2">
        <v>#VALUE!</v>
      </c>
      <c r="Q2" s="29" cm="1">
        <f t="array" aca="1" ref="Q2" ca="1">_FV(S2,"Change (%)",TRUE)</f>
        <v>7.084E-2</v>
      </c>
      <c r="R2" s="27" cm="1">
        <f t="array" aca="1" ref="R2" ca="1">_FV(S2,"Price")</f>
        <v>32.5</v>
      </c>
      <c r="S2" s="84" t="e" vm="3">
        <v>#VALUE!</v>
      </c>
      <c r="T2" s="20">
        <v>300000</v>
      </c>
      <c r="U2" s="130" t="s">
        <v>40</v>
      </c>
      <c r="V2" s="130"/>
      <c r="W2" s="79"/>
      <c r="X2" s="79"/>
    </row>
    <row r="3" spans="1:24" ht="16.2" thickBot="1" x14ac:dyDescent="0.4">
      <c r="A3" s="79"/>
      <c r="B3" s="103" t="s">
        <v>50</v>
      </c>
      <c r="C3" s="104" t="s">
        <v>47</v>
      </c>
      <c r="D3" s="104" t="s">
        <v>7</v>
      </c>
      <c r="E3" s="104" t="s">
        <v>6</v>
      </c>
      <c r="F3" s="105" t="s">
        <v>0</v>
      </c>
      <c r="G3" s="83" t="e" vm="4">
        <v>#VALUE!</v>
      </c>
      <c r="H3" s="78"/>
      <c r="I3" s="80"/>
      <c r="J3" s="81"/>
      <c r="K3" s="81"/>
      <c r="L3" s="82"/>
      <c r="M3" s="79"/>
      <c r="N3" s="80"/>
      <c r="O3" s="80"/>
      <c r="P3" s="80"/>
      <c r="Q3" s="81"/>
      <c r="R3" s="82"/>
      <c r="S3" s="79"/>
      <c r="T3" s="85"/>
      <c r="U3" s="86"/>
      <c r="V3" s="86"/>
      <c r="W3" s="79"/>
      <c r="X3" s="79"/>
    </row>
    <row r="4" spans="1:24" ht="16.2" thickBot="1" x14ac:dyDescent="0.4">
      <c r="A4" s="79"/>
      <c r="B4" s="44" t="str">
        <f t="shared" ref="B4:B6" ca="1" si="0">IF(E4-C4&lt;=0,"BUY","HOLD")</f>
        <v>BUY</v>
      </c>
      <c r="C4" s="45">
        <v>40</v>
      </c>
      <c r="D4" s="46" cm="1">
        <f t="array" aca="1" ref="D4" ca="1">_FV(G2,"Change (%)",TRUE)</f>
        <v>-1.2586E-2</v>
      </c>
      <c r="E4" s="47" cm="1">
        <f t="array" aca="1" ref="E4" ca="1">_FV(G2,"Price")</f>
        <v>39.619999999999997</v>
      </c>
      <c r="F4" s="101" t="s">
        <v>61</v>
      </c>
      <c r="G4" s="83" t="e" vm="5">
        <v>#VALUE!</v>
      </c>
      <c r="H4" s="78"/>
      <c r="I4" s="79"/>
      <c r="J4" s="135" t="s">
        <v>7</v>
      </c>
      <c r="K4" s="135"/>
      <c r="L4" s="135" t="s">
        <v>60</v>
      </c>
      <c r="M4" s="135"/>
      <c r="O4" s="79"/>
      <c r="P4" s="79"/>
      <c r="Q4" s="28" t="s">
        <v>68</v>
      </c>
      <c r="R4" s="28" t="s">
        <v>41</v>
      </c>
      <c r="S4" s="31" t="s">
        <v>48</v>
      </c>
      <c r="T4" s="31" t="s">
        <v>43</v>
      </c>
      <c r="U4" s="133" t="s">
        <v>42</v>
      </c>
      <c r="V4" s="134"/>
      <c r="W4" s="79"/>
      <c r="X4" s="79"/>
    </row>
    <row r="5" spans="1:24" ht="15.6" customHeight="1" x14ac:dyDescent="0.35">
      <c r="A5" s="79"/>
      <c r="B5" s="38" t="str">
        <f t="shared" ca="1" si="0"/>
        <v>BUY</v>
      </c>
      <c r="C5" s="39">
        <v>100</v>
      </c>
      <c r="D5" s="37" cm="1">
        <f t="array" aca="1" ref="D5" ca="1">_FV(G3,"Change (%)",TRUE)</f>
        <v>-1.2964E-2</v>
      </c>
      <c r="E5" s="36" cm="1">
        <f t="array" aca="1" ref="E5" ca="1">_FV(G3,"Price")</f>
        <v>94.41</v>
      </c>
      <c r="F5" s="100" t="s">
        <v>62</v>
      </c>
      <c r="G5" s="83" t="e" vm="6">
        <v>#VALUE!</v>
      </c>
      <c r="H5" s="78"/>
      <c r="I5" s="79"/>
      <c r="J5" s="142">
        <f ca="1">SUM(K10,K11,K12,K17:K19,K24:K30,K35:K45,K50:K55,K61:K63)</f>
        <v>-3818.0632074821497</v>
      </c>
      <c r="K5" s="136"/>
      <c r="L5" s="136">
        <f ca="1">U5+T5+R5</f>
        <v>286122.61618300003</v>
      </c>
      <c r="M5" s="137"/>
      <c r="N5" s="79"/>
      <c r="O5" s="79"/>
      <c r="P5" s="79"/>
      <c r="Q5" s="32">
        <f>0</f>
        <v>0</v>
      </c>
      <c r="R5" s="32">
        <f>T2-(U5)</f>
        <v>20242.710000000021</v>
      </c>
      <c r="S5" s="140">
        <f ca="1">T5/U5</f>
        <v>-4.9605083810327133E-2</v>
      </c>
      <c r="T5" s="30">
        <f ca="1">SUM(I10:I12,I17:I19,I24:I30,I35:I45,I50:I55,I61:I63)+Q5</f>
        <v>-13877.383816999993</v>
      </c>
      <c r="U5" s="131">
        <f>SUM(P10:P12, P24:P30,P17:P19,P35:P45, P50:P55, P61:P63)</f>
        <v>279757.28999999998</v>
      </c>
      <c r="V5" s="132"/>
      <c r="W5" s="79"/>
      <c r="X5" s="79"/>
    </row>
    <row r="6" spans="1:24" ht="16.2" customHeight="1" thickBot="1" x14ac:dyDescent="0.4">
      <c r="A6" s="79"/>
      <c r="B6" s="38" t="str">
        <f t="shared" ca="1" si="0"/>
        <v>HOLD</v>
      </c>
      <c r="C6" s="39">
        <v>60</v>
      </c>
      <c r="D6" s="37" cm="1">
        <f t="array" aca="1" ref="D6" ca="1">_FV(G4,"Change (%)",TRUE)</f>
        <v>1.1092999999999999E-2</v>
      </c>
      <c r="E6" s="36" cm="1">
        <f t="array" aca="1" ref="E6" ca="1">_FV(G4,"Price")</f>
        <v>75.650000000000006</v>
      </c>
      <c r="F6" s="100" t="s">
        <v>53</v>
      </c>
      <c r="G6" s="83" t="e" vm="7">
        <v>#VALUE!</v>
      </c>
      <c r="H6" s="78"/>
      <c r="I6" s="79"/>
      <c r="J6" s="143"/>
      <c r="K6" s="138"/>
      <c r="L6" s="138"/>
      <c r="M6" s="139"/>
      <c r="N6" s="81"/>
      <c r="O6" s="81"/>
      <c r="P6" s="81"/>
      <c r="Q6" s="110">
        <f ca="1">Q5/M2</f>
        <v>0</v>
      </c>
      <c r="R6" s="33">
        <f ca="1">R5/M2</f>
        <v>6552.0990451529442</v>
      </c>
      <c r="S6" s="141"/>
      <c r="T6" s="34">
        <f ca="1">T5/M2</f>
        <v>-4491.7895507363628</v>
      </c>
      <c r="U6" s="123">
        <f ca="1">U5/M2</f>
        <v>90550.992069914209</v>
      </c>
      <c r="V6" s="124"/>
      <c r="W6" s="79"/>
      <c r="X6" s="79"/>
    </row>
    <row r="7" spans="1:24" ht="16.2" thickBot="1" x14ac:dyDescent="0.4">
      <c r="A7" s="79"/>
      <c r="B7" s="38" t="str">
        <f ca="1">IF(E7-C7&lt;=0,"BUY","HOLD")</f>
        <v>HOLD</v>
      </c>
      <c r="C7" s="39">
        <v>100</v>
      </c>
      <c r="D7" s="37" cm="1">
        <f t="array" aca="1" ref="D7" ca="1">_FV(G5,"Change (%)",TRUE)</f>
        <v>-2.9702000000000003E-2</v>
      </c>
      <c r="E7" s="36" cm="1">
        <f t="array" aca="1" ref="E7" ca="1">_FV(G5,"Price")</f>
        <v>131.815</v>
      </c>
      <c r="F7" s="100" t="s">
        <v>44</v>
      </c>
      <c r="G7" s="83" t="e" vm="8">
        <v>#VALUE!</v>
      </c>
      <c r="H7" s="78"/>
      <c r="I7" s="79"/>
      <c r="J7" s="79"/>
      <c r="K7" s="79"/>
      <c r="L7" s="79"/>
      <c r="M7" s="80"/>
      <c r="N7" s="81"/>
      <c r="O7" s="81"/>
      <c r="P7" s="81"/>
      <c r="Q7" s="82"/>
      <c r="R7" s="74"/>
      <c r="S7" s="75"/>
      <c r="T7" s="74"/>
      <c r="U7" s="76"/>
      <c r="V7" s="76"/>
      <c r="W7" s="79"/>
      <c r="X7" s="79"/>
    </row>
    <row r="8" spans="1:24" ht="15.6" x14ac:dyDescent="0.35">
      <c r="A8" s="79"/>
      <c r="B8" s="44" t="str">
        <f ca="1">IF(E8-C8&lt;=0,"BUY","HOLD")</f>
        <v>BUY</v>
      </c>
      <c r="C8" s="45">
        <v>60</v>
      </c>
      <c r="D8" s="46" cm="1">
        <f t="array" aca="1" ref="D8" ca="1">_FV(G6,"Change (%)",TRUE)</f>
        <v>-1.8262E-2</v>
      </c>
      <c r="E8" s="47" cm="1">
        <f t="array" aca="1" ref="E8" ca="1">_FV(G6,"Price")</f>
        <v>46.77</v>
      </c>
      <c r="F8" s="101" t="s">
        <v>35</v>
      </c>
      <c r="G8" s="83" t="e" vm="9">
        <v>#VALUE!</v>
      </c>
      <c r="H8" s="126" t="s">
        <v>59</v>
      </c>
      <c r="I8" s="127"/>
      <c r="J8" s="127"/>
      <c r="K8" s="127"/>
      <c r="L8" s="127"/>
      <c r="M8" s="127"/>
      <c r="N8" s="127"/>
      <c r="O8" s="127"/>
      <c r="P8" s="127"/>
      <c r="Q8" s="127"/>
      <c r="R8" s="127"/>
      <c r="S8" s="127"/>
      <c r="T8" s="127"/>
      <c r="U8" s="127"/>
      <c r="V8" s="128"/>
      <c r="W8" s="79"/>
      <c r="X8" s="79"/>
    </row>
    <row r="9" spans="1:24" ht="15.6" x14ac:dyDescent="0.35">
      <c r="A9" s="79"/>
      <c r="B9" s="38" t="str">
        <f ca="1">IF(E9-C9&lt;=0,"BUY","HOLD")</f>
        <v>BUY</v>
      </c>
      <c r="C9" s="39">
        <v>80</v>
      </c>
      <c r="D9" s="37" cm="1">
        <f t="array" aca="1" ref="D9" ca="1">_FV(G7,"Change (%)",TRUE)</f>
        <v>-3.1529000000000001E-2</v>
      </c>
      <c r="E9" s="36" cm="1">
        <f t="array" aca="1" ref="E9" ca="1">_FV(G7,"Price")</f>
        <v>78.02</v>
      </c>
      <c r="F9" s="100" t="s">
        <v>36</v>
      </c>
      <c r="G9" s="83" t="e" vm="10">
        <v>#VALUE!</v>
      </c>
      <c r="H9" s="77" t="s">
        <v>65</v>
      </c>
      <c r="I9" s="1" t="s">
        <v>66</v>
      </c>
      <c r="J9" s="1" t="s">
        <v>64</v>
      </c>
      <c r="K9" s="1" t="s">
        <v>7</v>
      </c>
      <c r="L9" s="1" t="s">
        <v>6</v>
      </c>
      <c r="M9" s="1" t="s">
        <v>4</v>
      </c>
      <c r="N9" s="1" t="s">
        <v>49</v>
      </c>
      <c r="O9" s="1" t="s">
        <v>69</v>
      </c>
      <c r="P9" s="1" t="s">
        <v>63</v>
      </c>
      <c r="Q9" s="1" t="s">
        <v>3</v>
      </c>
      <c r="R9" s="1" t="s">
        <v>2</v>
      </c>
      <c r="S9" s="1" t="s">
        <v>1</v>
      </c>
      <c r="T9" s="1" t="s">
        <v>0</v>
      </c>
      <c r="U9" s="1"/>
      <c r="V9" s="53" t="s">
        <v>5</v>
      </c>
      <c r="W9" s="79"/>
      <c r="X9" s="79"/>
    </row>
    <row r="10" spans="1:24" ht="15.6" x14ac:dyDescent="0.35">
      <c r="A10" s="79"/>
      <c r="B10" s="38" t="str">
        <f ca="1">IF(E10-C10&lt;=0,"BUY","HOLD")</f>
        <v>HOLD</v>
      </c>
      <c r="C10" s="39">
        <v>120</v>
      </c>
      <c r="D10" s="37" cm="1">
        <f t="array" aca="1" ref="D10" ca="1">_FV(G8,"Change (%)",TRUE)</f>
        <v>-6.8189999999999995E-3</v>
      </c>
      <c r="E10" s="36" cm="1">
        <f t="array" aca="1" ref="E10" ca="1">_FV(G8,"Price")</f>
        <v>198.09</v>
      </c>
      <c r="F10" s="100" t="s">
        <v>18</v>
      </c>
      <c r="G10" s="83" t="e" vm="11">
        <v>#VALUE!</v>
      </c>
      <c r="H10" s="52">
        <f ca="1">(L10-R10)/R10</f>
        <v>-7.0197585632136988E-3</v>
      </c>
      <c r="I10" s="21">
        <f ca="1">(L10*S10-P10)</f>
        <v>-158.01644999999917</v>
      </c>
      <c r="J10" s="2" cm="1">
        <f t="array" aca="1" ref="J10" ca="1">_FV(U10,"Change (%)",TRUE)</f>
        <v>-1.1139E-2</v>
      </c>
      <c r="K10" s="21">
        <f ca="1">J10*Q10</f>
        <v>-248.98141812345003</v>
      </c>
      <c r="L10" s="22" cm="1">
        <f t="array" aca="1" ref="L10" ca="1">_FV(U10,"Price")*M2</f>
        <v>2235.2223550000003</v>
      </c>
      <c r="M10" s="8">
        <f>P10/$U$5</f>
        <v>8.0463461738566319E-2</v>
      </c>
      <c r="N10" s="3"/>
      <c r="O10" s="3" t="s">
        <v>59</v>
      </c>
      <c r="P10" s="21">
        <v>22510.240000000002</v>
      </c>
      <c r="Q10" s="18">
        <f ca="1">S10*L10</f>
        <v>22352.223550000002</v>
      </c>
      <c r="R10" s="18">
        <f>225102.4/100</f>
        <v>2251.0239999999999</v>
      </c>
      <c r="S10" s="3">
        <v>10</v>
      </c>
      <c r="T10" s="94">
        <v>1159250</v>
      </c>
      <c r="U10" s="23" t="e" vm="12">
        <v>#VALUE!</v>
      </c>
      <c r="V10" s="53">
        <v>1</v>
      </c>
      <c r="W10" s="79"/>
      <c r="X10" s="79"/>
    </row>
    <row r="11" spans="1:24" ht="15.6" x14ac:dyDescent="0.35">
      <c r="A11" s="79"/>
      <c r="B11" s="38" t="str">
        <f t="shared" ref="B11:B14" ca="1" si="1">IF(E11-C11&lt;=0,"BUY","HOLD")</f>
        <v>HOLD</v>
      </c>
      <c r="C11" s="39">
        <v>70</v>
      </c>
      <c r="D11" s="37" cm="1">
        <f t="array" aca="1" ref="D11" ca="1">_FV(G9,"Change (%)",TRUE)</f>
        <v>1.4607000000000002E-2</v>
      </c>
      <c r="E11" s="36" cm="1">
        <f t="array" aca="1" ref="E11" ca="1">_FV(G9,"Price")</f>
        <v>154.9</v>
      </c>
      <c r="F11" s="100" t="s">
        <v>45</v>
      </c>
      <c r="G11" s="83" t="e" vm="13">
        <v>#VALUE!</v>
      </c>
      <c r="H11" s="52">
        <f ca="1">(L11-R11)/R11</f>
        <v>7.5803565060317728E-3</v>
      </c>
      <c r="I11" s="21">
        <f ca="1">(L11*S11-P11)</f>
        <v>190.22000000000116</v>
      </c>
      <c r="J11" s="2" cm="1">
        <f t="array" aca="1" ref="J11" ca="1">_FV(U11,"Change (%)",TRUE)</f>
        <v>-2.3720000000000002E-4</v>
      </c>
      <c r="K11" s="21">
        <f ca="1">J11*Q11</f>
        <v>-5.9973648000000006</v>
      </c>
      <c r="L11" s="22" cm="1">
        <f t="array" aca="1" ref="L11" ca="1">_FV(U11,"Price")/100</f>
        <v>42.14</v>
      </c>
      <c r="M11" s="8">
        <f>P11/$U$5</f>
        <v>8.9698395348339274E-2</v>
      </c>
      <c r="N11" s="3"/>
      <c r="O11" s="3" t="s">
        <v>59</v>
      </c>
      <c r="P11" s="21">
        <v>25093.78</v>
      </c>
      <c r="Q11" s="18">
        <f ca="1">S11*L11</f>
        <v>25284</v>
      </c>
      <c r="R11" s="18">
        <f>418229.67/100/100</f>
        <v>41.822966999999998</v>
      </c>
      <c r="S11" s="3">
        <v>600</v>
      </c>
      <c r="T11" s="94">
        <v>1183441</v>
      </c>
      <c r="U11" s="23" t="e" vm="14">
        <v>#VALUE!</v>
      </c>
      <c r="V11" s="53">
        <v>2</v>
      </c>
      <c r="W11" s="79"/>
      <c r="X11" s="79"/>
    </row>
    <row r="12" spans="1:24" ht="16.2" thickBot="1" x14ac:dyDescent="0.4">
      <c r="A12" s="79"/>
      <c r="B12" s="38" t="str">
        <f t="shared" ca="1" si="1"/>
        <v>BUY</v>
      </c>
      <c r="C12" s="39">
        <v>230</v>
      </c>
      <c r="D12" s="37" cm="1">
        <f t="array" aca="1" ref="D12" ca="1">_FV(G10,"Change (%)",TRUE)</f>
        <v>-8.2920000000000008E-3</v>
      </c>
      <c r="E12" s="36" cm="1">
        <f t="array" aca="1" ref="E12" ca="1">_FV(G10,"Price")</f>
        <v>199.72</v>
      </c>
      <c r="F12" s="100" t="s">
        <v>46</v>
      </c>
      <c r="G12" s="83" t="e" vm="15">
        <v>#VALUE!</v>
      </c>
      <c r="H12" s="54">
        <f ca="1">(L12-R12)/R12</f>
        <v>0.17852676826885491</v>
      </c>
      <c r="I12" s="87">
        <f ca="1">(L12*S12*M2-P12)</f>
        <v>118.01715000000331</v>
      </c>
      <c r="J12" s="62" cm="1">
        <f t="array" aca="1" ref="J12" ca="1">_FV(U12,"Change (%)",TRUE)</f>
        <v>-9.4269999999999996E-3</v>
      </c>
      <c r="K12" s="87">
        <f ca="1">J12*Q12*$M$2</f>
        <v>-175.67155251304999</v>
      </c>
      <c r="L12" s="56" cm="1">
        <f t="array" aca="1" ref="L12" ca="1">_FV(U12,"Price")</f>
        <v>603.16999999999996</v>
      </c>
      <c r="M12" s="57">
        <f>P12/$U$5</f>
        <v>6.6189231386964031E-2</v>
      </c>
      <c r="N12" s="58"/>
      <c r="O12" s="58" t="s">
        <v>59</v>
      </c>
      <c r="P12" s="87">
        <v>18516.919999999998</v>
      </c>
      <c r="Q12" s="59">
        <f ca="1">L12*S12</f>
        <v>6031.7</v>
      </c>
      <c r="R12" s="59">
        <v>511.8</v>
      </c>
      <c r="S12" s="58">
        <v>10</v>
      </c>
      <c r="T12" s="95" t="s">
        <v>20</v>
      </c>
      <c r="U12" s="60" t="e" vm="16">
        <v>#VALUE!</v>
      </c>
      <c r="V12" s="61">
        <v>3</v>
      </c>
      <c r="W12" s="79"/>
      <c r="X12" s="79"/>
    </row>
    <row r="13" spans="1:24" ht="15.6" x14ac:dyDescent="0.35">
      <c r="A13" s="79"/>
      <c r="B13" s="38" t="str">
        <f t="shared" ca="1" si="1"/>
        <v>BUY</v>
      </c>
      <c r="C13" s="39">
        <v>80</v>
      </c>
      <c r="D13" s="37" cm="1">
        <f t="array" aca="1" ref="D13" ca="1">_FV(G11,"Change (%)",TRUE)</f>
        <v>-6.7600000000000004E-3</v>
      </c>
      <c r="E13" s="36" cm="1">
        <f t="array" aca="1" ref="E13" ca="1">_FV(G11,"Price")</f>
        <v>74.930000000000007</v>
      </c>
      <c r="F13" s="100" t="s">
        <v>17</v>
      </c>
      <c r="G13" s="83" t="e" vm="17">
        <v>#VALUE!</v>
      </c>
      <c r="H13" s="125"/>
      <c r="I13" s="125"/>
      <c r="J13" s="125"/>
      <c r="K13" s="125"/>
      <c r="L13" s="125"/>
      <c r="M13" s="125"/>
      <c r="N13" s="125"/>
      <c r="O13" s="125"/>
      <c r="P13" s="125"/>
      <c r="Q13" s="125"/>
      <c r="R13" s="125"/>
      <c r="S13" s="125"/>
      <c r="T13" s="125"/>
      <c r="U13" s="125"/>
      <c r="V13" s="125"/>
      <c r="W13" s="79"/>
      <c r="X13" s="79"/>
    </row>
    <row r="14" spans="1:24" ht="16.2" thickBot="1" x14ac:dyDescent="0.4">
      <c r="A14" s="79"/>
      <c r="B14" s="38" t="str">
        <f t="shared" ca="1" si="1"/>
        <v>HOLD</v>
      </c>
      <c r="C14" s="39">
        <v>120</v>
      </c>
      <c r="D14" s="37" cm="1">
        <f t="array" aca="1" ref="D14" ca="1">_FV(G12,"Change (%)",TRUE)</f>
        <v>-8.6449999999999999E-3</v>
      </c>
      <c r="E14" s="36" cm="1">
        <f t="array" aca="1" ref="E14" ca="1">_FV(G12,"Price")</f>
        <v>181.755</v>
      </c>
      <c r="F14" s="100" t="s">
        <v>11</v>
      </c>
      <c r="G14" s="83" t="e" vm="18">
        <v>#VALUE!</v>
      </c>
      <c r="H14" s="125"/>
      <c r="I14" s="125"/>
      <c r="J14" s="125"/>
      <c r="K14" s="125"/>
      <c r="L14" s="125"/>
      <c r="M14" s="125"/>
      <c r="N14" s="125"/>
      <c r="O14" s="125"/>
      <c r="P14" s="125"/>
      <c r="Q14" s="125"/>
      <c r="R14" s="125"/>
      <c r="S14" s="125"/>
      <c r="T14" s="125"/>
      <c r="U14" s="125"/>
      <c r="V14" s="125"/>
      <c r="W14" s="79"/>
      <c r="X14" s="79"/>
    </row>
    <row r="15" spans="1:24" ht="15.6" x14ac:dyDescent="0.35">
      <c r="A15" s="79"/>
      <c r="B15" s="38" t="str">
        <f ca="1">IF(E15-C15&lt;=0,"BUY","HOLD")</f>
        <v>HOLD</v>
      </c>
      <c r="C15" s="39">
        <v>100</v>
      </c>
      <c r="D15" s="37" cm="1">
        <f t="array" aca="1" ref="D15" ca="1">_FV(G13,"Change (%)",TRUE)</f>
        <v>-4.0376000000000002E-2</v>
      </c>
      <c r="E15" s="36" cm="1">
        <f t="array" aca="1" ref="E15" ca="1">_FV(G13,"Price")</f>
        <v>176.83</v>
      </c>
      <c r="F15" s="100" t="s">
        <v>15</v>
      </c>
      <c r="H15" s="126" t="s">
        <v>58</v>
      </c>
      <c r="I15" s="127"/>
      <c r="J15" s="127"/>
      <c r="K15" s="127"/>
      <c r="L15" s="127"/>
      <c r="M15" s="127"/>
      <c r="N15" s="127"/>
      <c r="O15" s="127"/>
      <c r="P15" s="127"/>
      <c r="Q15" s="127"/>
      <c r="R15" s="127"/>
      <c r="S15" s="127"/>
      <c r="T15" s="127"/>
      <c r="U15" s="127"/>
      <c r="V15" s="128"/>
      <c r="W15" s="79"/>
      <c r="X15" s="79"/>
    </row>
    <row r="16" spans="1:24" ht="16.2" thickBot="1" x14ac:dyDescent="0.4">
      <c r="A16" s="79"/>
      <c r="B16" s="25" t="str">
        <f ca="1">IF(E16-C16&lt;=0,"BUY","HOLD")</f>
        <v>HOLD</v>
      </c>
      <c r="C16" s="40">
        <v>180</v>
      </c>
      <c r="D16" s="41" cm="1">
        <f t="array" aca="1" ref="D16" ca="1">_FV(G14,"Change (%)",TRUE)</f>
        <v>-1.9074999999999998E-2</v>
      </c>
      <c r="E16" s="26" cm="1">
        <f t="array" aca="1" ref="E16" ca="1">_FV(G14,"Price")</f>
        <v>347.11</v>
      </c>
      <c r="F16" s="102" t="s">
        <v>19</v>
      </c>
      <c r="G16" s="83"/>
      <c r="H16" s="77" t="s">
        <v>65</v>
      </c>
      <c r="I16" s="1" t="s">
        <v>66</v>
      </c>
      <c r="J16" s="1" t="s">
        <v>64</v>
      </c>
      <c r="K16" s="1" t="s">
        <v>7</v>
      </c>
      <c r="L16" s="1" t="s">
        <v>6</v>
      </c>
      <c r="M16" s="1" t="s">
        <v>4</v>
      </c>
      <c r="N16" s="1" t="s">
        <v>49</v>
      </c>
      <c r="O16" s="1" t="s">
        <v>69</v>
      </c>
      <c r="P16" s="1" t="s">
        <v>63</v>
      </c>
      <c r="Q16" s="1" t="s">
        <v>3</v>
      </c>
      <c r="R16" s="1" t="s">
        <v>2</v>
      </c>
      <c r="S16" s="1" t="s">
        <v>1</v>
      </c>
      <c r="T16" s="1" t="s">
        <v>0</v>
      </c>
      <c r="U16" s="1"/>
      <c r="V16" s="53" t="s">
        <v>5</v>
      </c>
      <c r="W16" s="79"/>
      <c r="X16" s="79"/>
    </row>
    <row r="17" spans="1:26" ht="15.6" x14ac:dyDescent="0.35">
      <c r="A17" s="79"/>
      <c r="B17" s="79"/>
      <c r="C17" s="79"/>
      <c r="D17" s="79"/>
      <c r="E17" s="79"/>
      <c r="F17" s="79"/>
      <c r="G17" s="83"/>
      <c r="H17" s="52">
        <f ca="1">(L17-R17)/R17</f>
        <v>-6.243990384615393E-2</v>
      </c>
      <c r="I17" s="88">
        <f ca="1">(L17*S17*$M$2-P17)</f>
        <v>-2126.8331500000004</v>
      </c>
      <c r="J17" s="4" cm="1">
        <f t="array" aca="1" ref="J17" ca="1">_FV(U17,"Change (%)",TRUE)</f>
        <v>-3.4352999999999995E-2</v>
      </c>
      <c r="K17" s="21">
        <f ca="1">J17*Q17*$M$2</f>
        <v>-496.73705765804982</v>
      </c>
      <c r="L17" s="48" cm="1">
        <f t="array" aca="1" ref="L17" ca="1">_FV(U17,"Price")</f>
        <v>39.002499999999998</v>
      </c>
      <c r="M17" s="8">
        <f>P17/$U$5</f>
        <v>5.9289321826072883E-2</v>
      </c>
      <c r="N17" s="3"/>
      <c r="O17" s="3" t="s">
        <v>58</v>
      </c>
      <c r="P17" s="21">
        <v>16586.62</v>
      </c>
      <c r="Q17" s="14">
        <f ca="1">L17*S17</f>
        <v>4680.2999999999993</v>
      </c>
      <c r="R17" s="14">
        <v>41.6</v>
      </c>
      <c r="S17" s="3">
        <v>120</v>
      </c>
      <c r="T17" s="94" t="s">
        <v>22</v>
      </c>
      <c r="U17" s="50" t="e" vm="19">
        <v>#VALUE!</v>
      </c>
      <c r="V17" s="51">
        <v>4</v>
      </c>
      <c r="W17" s="79"/>
      <c r="X17" s="79"/>
    </row>
    <row r="18" spans="1:26" ht="15.6" x14ac:dyDescent="0.35">
      <c r="A18" s="79"/>
      <c r="B18" s="79"/>
      <c r="C18" s="79"/>
      <c r="D18" s="79"/>
      <c r="E18" s="79"/>
      <c r="F18" s="79"/>
      <c r="G18" s="83"/>
      <c r="H18" s="52">
        <f ca="1">(L18-R18)/R18</f>
        <v>-0.15787997756590005</v>
      </c>
      <c r="I18" s="88">
        <f ca="1">(L18*S18*$M$2-P18)</f>
        <v>-1177.0394499999993</v>
      </c>
      <c r="J18" s="4" cm="1">
        <f t="array" aca="1" ref="J18" ca="1">_FV(U18,"Change (%)",TRUE)</f>
        <v>-4.9683999999999999E-2</v>
      </c>
      <c r="K18" s="21">
        <f ca="1">J18*Q18*$M$2</f>
        <v>-138.28699504620002</v>
      </c>
      <c r="L18" s="48" cm="1">
        <f t="array" aca="1" ref="L18" ca="1">_FV(U18,"Price")</f>
        <v>15.015000000000001</v>
      </c>
      <c r="M18" s="8">
        <f t="shared" ref="M18:M19" si="2">P18/$U$5</f>
        <v>1.4156449685368343E-2</v>
      </c>
      <c r="N18" s="3"/>
      <c r="O18" s="3" t="s">
        <v>58</v>
      </c>
      <c r="P18" s="21">
        <v>3960.37</v>
      </c>
      <c r="Q18" s="14">
        <f ca="1">L18*S18</f>
        <v>900.90000000000009</v>
      </c>
      <c r="R18" s="14">
        <v>17.829999999999998</v>
      </c>
      <c r="S18" s="3">
        <v>60</v>
      </c>
      <c r="T18" s="94" t="s">
        <v>21</v>
      </c>
      <c r="U18" s="24" t="e" vm="20">
        <v>#VALUE!</v>
      </c>
      <c r="V18" s="53">
        <v>5</v>
      </c>
      <c r="W18" s="79"/>
      <c r="X18" s="79"/>
    </row>
    <row r="19" spans="1:26" ht="16.2" thickBot="1" x14ac:dyDescent="0.4">
      <c r="A19" s="79"/>
      <c r="B19" s="79"/>
      <c r="C19" s="79"/>
      <c r="D19" s="79"/>
      <c r="E19" s="79"/>
      <c r="F19" s="79"/>
      <c r="G19" s="83"/>
      <c r="H19" s="54">
        <f t="shared" ref="H19" ca="1" si="3">(L19-R19)/R19</f>
        <v>-0.5597243491577335</v>
      </c>
      <c r="I19" s="89">
        <f t="shared" ref="I19" ca="1" si="4">(L19*S19*$M$2-P19)</f>
        <v>-5312.9987499999997</v>
      </c>
      <c r="J19" s="55" cm="1">
        <f t="array" aca="1" ref="J19" ca="1">_FV(U19,"Change (%)",TRUE)</f>
        <v>-4.9062999999999996E-2</v>
      </c>
      <c r="K19" s="87">
        <f ca="1">J19*Q19*$M$2</f>
        <v>-183.03301723874998</v>
      </c>
      <c r="L19" s="56" cm="1">
        <f t="array" aca="1" ref="L19" ca="1">_FV(U19,"Price")</f>
        <v>8.625</v>
      </c>
      <c r="M19" s="57">
        <f t="shared" si="2"/>
        <v>3.2326485576122076E-2</v>
      </c>
      <c r="N19" s="58"/>
      <c r="O19" s="58" t="s">
        <v>58</v>
      </c>
      <c r="P19" s="87">
        <v>9043.57</v>
      </c>
      <c r="Q19" s="59">
        <f t="shared" ref="Q19" ca="1" si="5">L19*S19</f>
        <v>1207.5</v>
      </c>
      <c r="R19" s="109">
        <v>19.59</v>
      </c>
      <c r="S19" s="58">
        <v>140</v>
      </c>
      <c r="T19" s="95" t="s">
        <v>52</v>
      </c>
      <c r="U19" s="60" t="e" vm="21">
        <v>#VALUE!</v>
      </c>
      <c r="V19" s="61">
        <v>6</v>
      </c>
      <c r="W19" s="79"/>
      <c r="X19" s="79"/>
      <c r="Z19" s="93"/>
    </row>
    <row r="20" spans="1:26" ht="15.6" x14ac:dyDescent="0.35">
      <c r="A20" s="79"/>
      <c r="B20" s="79"/>
      <c r="C20" s="114" t="s">
        <v>83</v>
      </c>
      <c r="D20" s="115" t="s">
        <v>69</v>
      </c>
      <c r="F20" s="79"/>
      <c r="G20" s="79"/>
      <c r="H20" s="125"/>
      <c r="I20" s="125"/>
      <c r="J20" s="125"/>
      <c r="K20" s="125"/>
      <c r="L20" s="125"/>
      <c r="M20" s="125"/>
      <c r="N20" s="125"/>
      <c r="O20" s="125"/>
      <c r="P20" s="125"/>
      <c r="Q20" s="125"/>
      <c r="R20" s="125"/>
      <c r="S20" s="125"/>
      <c r="T20" s="125"/>
      <c r="U20" s="125"/>
      <c r="V20" s="125"/>
      <c r="W20" s="79"/>
      <c r="X20" s="79"/>
    </row>
    <row r="21" spans="1:26" ht="14.4" customHeight="1" thickBot="1" x14ac:dyDescent="0.4">
      <c r="A21" s="79"/>
      <c r="B21" s="79"/>
      <c r="C21" s="111">
        <f>SUMIF(O:O, D21, M:M)</f>
        <v>0.24249916776074004</v>
      </c>
      <c r="D21" s="116" t="s">
        <v>59</v>
      </c>
      <c r="E21" s="79"/>
      <c r="F21" s="79"/>
      <c r="G21" s="79"/>
      <c r="H21" s="125"/>
      <c r="I21" s="125"/>
      <c r="J21" s="125"/>
      <c r="K21" s="125"/>
      <c r="L21" s="125"/>
      <c r="M21" s="125"/>
      <c r="N21" s="125"/>
      <c r="O21" s="125"/>
      <c r="P21" s="125"/>
      <c r="Q21" s="125"/>
      <c r="R21" s="125"/>
      <c r="S21" s="125"/>
      <c r="T21" s="125"/>
      <c r="U21" s="125"/>
      <c r="V21" s="125"/>
      <c r="W21" s="79"/>
      <c r="X21" s="79"/>
    </row>
    <row r="22" spans="1:26" ht="16.2" customHeight="1" x14ac:dyDescent="0.35">
      <c r="A22" s="79"/>
      <c r="B22" s="79"/>
      <c r="C22" s="111">
        <f>SUMIF(O:O, D22, M:M)</f>
        <v>0.1057722570875633</v>
      </c>
      <c r="D22" s="116" t="s">
        <v>58</v>
      </c>
      <c r="E22" s="79"/>
      <c r="F22" s="79"/>
      <c r="G22" s="79"/>
      <c r="H22" s="126" t="s">
        <v>57</v>
      </c>
      <c r="I22" s="127"/>
      <c r="J22" s="127"/>
      <c r="K22" s="127"/>
      <c r="L22" s="127"/>
      <c r="M22" s="127"/>
      <c r="N22" s="127"/>
      <c r="O22" s="127"/>
      <c r="P22" s="127"/>
      <c r="Q22" s="127"/>
      <c r="R22" s="127"/>
      <c r="S22" s="127"/>
      <c r="T22" s="127"/>
      <c r="U22" s="127"/>
      <c r="V22" s="128"/>
      <c r="W22" s="79"/>
      <c r="X22" s="79"/>
    </row>
    <row r="23" spans="1:26" ht="15.6" customHeight="1" x14ac:dyDescent="0.35">
      <c r="A23" s="79"/>
      <c r="B23" s="79"/>
      <c r="C23" s="111">
        <f>SUMIF(O:O, D23, M:M)</f>
        <v>0.10332931806710023</v>
      </c>
      <c r="D23" s="116" t="s">
        <v>71</v>
      </c>
      <c r="E23" s="79"/>
      <c r="F23" s="79"/>
      <c r="G23" s="79"/>
      <c r="H23" s="77" t="s">
        <v>65</v>
      </c>
      <c r="I23" s="1" t="s">
        <v>66</v>
      </c>
      <c r="J23" s="1" t="s">
        <v>64</v>
      </c>
      <c r="K23" s="1" t="s">
        <v>7</v>
      </c>
      <c r="L23" s="1" t="s">
        <v>6</v>
      </c>
      <c r="M23" s="1" t="s">
        <v>4</v>
      </c>
      <c r="N23" s="1" t="s">
        <v>49</v>
      </c>
      <c r="O23" s="1" t="s">
        <v>69</v>
      </c>
      <c r="P23" s="1" t="s">
        <v>63</v>
      </c>
      <c r="Q23" s="1" t="s">
        <v>3</v>
      </c>
      <c r="R23" s="1" t="s">
        <v>2</v>
      </c>
      <c r="S23" s="1" t="s">
        <v>1</v>
      </c>
      <c r="T23" s="1" t="s">
        <v>0</v>
      </c>
      <c r="U23" s="1"/>
      <c r="V23" s="53" t="s">
        <v>5</v>
      </c>
      <c r="W23" s="79"/>
      <c r="X23" s="79"/>
    </row>
    <row r="24" spans="1:26" ht="16.2" customHeight="1" x14ac:dyDescent="0.35">
      <c r="A24" s="79"/>
      <c r="B24" s="79"/>
      <c r="C24" s="111">
        <f>SUMIF(O:O, D24, M:M)</f>
        <v>3.0101699941402778E-2</v>
      </c>
      <c r="D24" s="116" t="s">
        <v>73</v>
      </c>
      <c r="E24" s="79"/>
      <c r="F24" s="79"/>
      <c r="G24" s="79"/>
      <c r="H24" s="52">
        <f ca="1">(L24-R24)/R24</f>
        <v>3.6402603664416625E-2</v>
      </c>
      <c r="I24" s="21">
        <f ca="1">(L24*S24*$M$2-P24)</f>
        <v>-1054.5885185000006</v>
      </c>
      <c r="J24" s="2" cm="1">
        <f t="array" aca="1" ref="J24" ca="1">_FV(U24,"Change (%)",TRUE)</f>
        <v>-1.8225000000000002E-2</v>
      </c>
      <c r="K24" s="21">
        <f ca="1">J24*Q24*$M$2</f>
        <v>-363.08995875033759</v>
      </c>
      <c r="L24" s="48" cm="1">
        <f t="array" aca="1" ref="L24" ca="1">_FV(U24,"Price")</f>
        <v>214.94990000000001</v>
      </c>
      <c r="M24" s="8">
        <f t="shared" ref="M24:M30" si="6">P24/$U$5</f>
        <v>7.498364028333275E-2</v>
      </c>
      <c r="N24" s="3"/>
      <c r="O24" s="3" t="s">
        <v>70</v>
      </c>
      <c r="P24" s="21">
        <v>20977.22</v>
      </c>
      <c r="Q24" s="14">
        <f ca="1">L24*S24</f>
        <v>6448.4970000000003</v>
      </c>
      <c r="R24" s="14">
        <v>207.4</v>
      </c>
      <c r="S24" s="3">
        <v>30</v>
      </c>
      <c r="T24" s="94" t="s">
        <v>9</v>
      </c>
      <c r="U24" s="24" t="e" vm="22">
        <v>#VALUE!</v>
      </c>
      <c r="V24" s="53">
        <v>7</v>
      </c>
      <c r="W24" s="79"/>
      <c r="X24" s="79"/>
    </row>
    <row r="25" spans="1:26" ht="15.6" customHeight="1" x14ac:dyDescent="0.35">
      <c r="A25" s="79"/>
      <c r="B25" s="79"/>
      <c r="C25" s="111">
        <f>SUMIF(O:O, D25, M:M)</f>
        <v>2.3104598990074578E-2</v>
      </c>
      <c r="D25" s="116" t="s">
        <v>80</v>
      </c>
      <c r="E25" s="79"/>
      <c r="F25" s="79"/>
      <c r="G25" s="79"/>
      <c r="H25" s="52">
        <f t="shared" ref="H25:H30" ca="1" si="7">(L25-R25)/R25</f>
        <v>-4.661252900232013E-2</v>
      </c>
      <c r="I25" s="21">
        <f t="shared" ref="I25:I30" ca="1" si="8">(L25*S25*$M$2-P25)</f>
        <v>-960.8006649999993</v>
      </c>
      <c r="J25" s="7" cm="1">
        <f t="array" aca="1" ref="J25" ca="1">_FV(U25,"Change (%)",TRUE)</f>
        <v>5.6000000000000006E-4</v>
      </c>
      <c r="K25" s="21">
        <f t="shared" ref="K25:K30" ca="1" si="9">J25*Q25*$M$2</f>
        <v>2.1327708276000004</v>
      </c>
      <c r="L25" s="48" cm="1">
        <f t="array" aca="1" ref="L25" ca="1">_FV(U25,"Price")</f>
        <v>410.91</v>
      </c>
      <c r="M25" s="8">
        <f t="shared" si="6"/>
        <v>1.7048063340905254E-2</v>
      </c>
      <c r="N25" s="3"/>
      <c r="O25" s="3" t="s">
        <v>71</v>
      </c>
      <c r="P25" s="21">
        <v>4769.32</v>
      </c>
      <c r="Q25" s="14">
        <f t="shared" ref="Q25:Q30" ca="1" si="10">L25*S25</f>
        <v>1232.73</v>
      </c>
      <c r="R25" s="42">
        <v>431</v>
      </c>
      <c r="S25" s="3">
        <v>3</v>
      </c>
      <c r="T25" s="94" t="s">
        <v>8</v>
      </c>
      <c r="U25" s="17" t="e" vm="23">
        <v>#VALUE!</v>
      </c>
      <c r="V25" s="53">
        <v>8</v>
      </c>
      <c r="W25" s="79"/>
      <c r="X25" s="79"/>
    </row>
    <row r="26" spans="1:26" ht="16.2" customHeight="1" x14ac:dyDescent="0.35">
      <c r="A26" s="79"/>
      <c r="B26" s="79"/>
      <c r="C26" s="111">
        <f>SUMIF(O:O, D26, M:M)</f>
        <v>9.5909815254501513E-2</v>
      </c>
      <c r="D26" s="116" t="s">
        <v>74</v>
      </c>
      <c r="E26" s="79"/>
      <c r="F26" s="79"/>
      <c r="G26" s="79"/>
      <c r="H26" s="52">
        <f t="shared" ca="1" si="7"/>
        <v>0.72289295159250322</v>
      </c>
      <c r="I26" s="21">
        <f t="shared" ca="1" si="8"/>
        <v>9779.1008000000002</v>
      </c>
      <c r="J26" s="2" cm="1">
        <f t="array" aca="1" ref="J26" ca="1">_FV(U26,"Change (%)",TRUE)</f>
        <v>-3.9880000000000002E-3</v>
      </c>
      <c r="K26" s="21">
        <f t="shared" ca="1" si="9"/>
        <v>-110.77005311040001</v>
      </c>
      <c r="L26" s="48" cm="1">
        <f t="array" aca="1" ref="L26" ca="1">_FV(U26,"Price")</f>
        <v>299.68</v>
      </c>
      <c r="M26" s="8">
        <f t="shared" si="6"/>
        <v>6.4329833907098552E-2</v>
      </c>
      <c r="N26" s="3"/>
      <c r="O26" s="3" t="s">
        <v>72</v>
      </c>
      <c r="P26" s="21">
        <v>17996.740000000002</v>
      </c>
      <c r="Q26" s="14">
        <f t="shared" ca="1" si="10"/>
        <v>8990.4</v>
      </c>
      <c r="R26" s="14">
        <v>173.94</v>
      </c>
      <c r="S26" s="3">
        <v>30</v>
      </c>
      <c r="T26" s="94" t="s">
        <v>12</v>
      </c>
      <c r="U26" s="17" t="e" vm="24">
        <v>#VALUE!</v>
      </c>
      <c r="V26" s="53">
        <v>9</v>
      </c>
      <c r="W26" s="79"/>
      <c r="X26" s="79"/>
    </row>
    <row r="27" spans="1:26" ht="15.6" x14ac:dyDescent="0.35">
      <c r="A27" s="79"/>
      <c r="B27" s="79"/>
      <c r="C27" s="111">
        <f>SUMIF(O:O, D27, M:M)</f>
        <v>9.3264772474740531E-3</v>
      </c>
      <c r="D27" s="116" t="s">
        <v>75</v>
      </c>
      <c r="E27" s="79"/>
      <c r="F27" s="79"/>
      <c r="G27" s="79"/>
      <c r="H27" s="52">
        <f t="shared" ca="1" si="7"/>
        <v>7.8305573726496491E-2</v>
      </c>
      <c r="I27" s="21">
        <f t="shared" ca="1" si="8"/>
        <v>-13.056125000000975</v>
      </c>
      <c r="J27" s="2" cm="1">
        <f t="array" aca="1" ref="J27" ca="1">_FV(U27,"Change (%)",TRUE)</f>
        <v>-2.6787000000000002E-2</v>
      </c>
      <c r="K27" s="21">
        <f t="shared" ca="1" si="9"/>
        <v>-319.21997918962501</v>
      </c>
      <c r="L27" s="48" cm="1">
        <f t="array" aca="1" ref="L27" ca="1">_FV(U27,"Price")</f>
        <v>642.875</v>
      </c>
      <c r="M27" s="8">
        <f t="shared" si="6"/>
        <v>4.2644214919296659E-2</v>
      </c>
      <c r="N27" s="3"/>
      <c r="O27" s="3" t="s">
        <v>72</v>
      </c>
      <c r="P27" s="21">
        <v>11930.03</v>
      </c>
      <c r="Q27" s="14">
        <f t="shared" ca="1" si="10"/>
        <v>3857.25</v>
      </c>
      <c r="R27" s="14">
        <v>596.19000000000005</v>
      </c>
      <c r="S27" s="3">
        <v>6</v>
      </c>
      <c r="T27" s="94" t="s">
        <v>13</v>
      </c>
      <c r="U27" s="17" t="e" vm="25">
        <v>#VALUE!</v>
      </c>
      <c r="V27" s="53">
        <v>10</v>
      </c>
      <c r="W27" s="79"/>
      <c r="X27" s="79"/>
    </row>
    <row r="28" spans="1:26" ht="15.6" x14ac:dyDescent="0.35">
      <c r="A28" s="79"/>
      <c r="B28" s="79"/>
      <c r="C28" s="111">
        <f>SUMIF(O:O, D28, M:M)</f>
        <v>7.6019859929298009E-2</v>
      </c>
      <c r="D28" s="116" t="s">
        <v>82</v>
      </c>
      <c r="E28" s="79"/>
      <c r="F28" s="79"/>
      <c r="G28" s="79"/>
      <c r="H28" s="52">
        <f t="shared" ca="1" si="7"/>
        <v>0.74526019443100333</v>
      </c>
      <c r="I28" s="21">
        <f t="shared" ca="1" si="8"/>
        <v>2254.2547500000001</v>
      </c>
      <c r="J28" s="4" cm="1">
        <f t="array" aca="1" ref="J28" ca="1">_FV(U28,"Change (%)",TRUE)</f>
        <v>-2.1699000000000003E-2</v>
      </c>
      <c r="K28" s="21">
        <f t="shared" ca="1" si="9"/>
        <v>-159.58648352025003</v>
      </c>
      <c r="L28" s="48" cm="1">
        <f t="array" aca="1" ref="L28" ca="1">_FV(U28,"Price")</f>
        <v>396.75</v>
      </c>
      <c r="M28" s="8">
        <f t="shared" si="6"/>
        <v>1.8231160303275745E-2</v>
      </c>
      <c r="N28" s="3"/>
      <c r="O28" s="3" t="s">
        <v>71</v>
      </c>
      <c r="P28" s="21">
        <v>5100.3</v>
      </c>
      <c r="Q28" s="14">
        <f t="shared" ca="1" si="10"/>
        <v>2380.5</v>
      </c>
      <c r="R28" s="14">
        <v>227.33</v>
      </c>
      <c r="S28" s="3">
        <v>6</v>
      </c>
      <c r="T28" s="94" t="s">
        <v>10</v>
      </c>
      <c r="U28" s="17" t="e" vm="26">
        <v>#VALUE!</v>
      </c>
      <c r="V28" s="53">
        <v>11</v>
      </c>
      <c r="W28" s="79"/>
      <c r="X28" s="79"/>
    </row>
    <row r="29" spans="1:26" ht="15.6" x14ac:dyDescent="0.35">
      <c r="A29" s="79"/>
      <c r="B29" s="79"/>
      <c r="C29" s="111">
        <f>SUMIF(O:O, D29, M:M)</f>
        <v>3.7840515255205681E-2</v>
      </c>
      <c r="D29" s="116" t="s">
        <v>78</v>
      </c>
      <c r="E29" s="79"/>
      <c r="F29" s="79"/>
      <c r="G29" s="79"/>
      <c r="H29" s="52">
        <f t="shared" ca="1" si="7"/>
        <v>0.17097657855088336</v>
      </c>
      <c r="I29" s="21">
        <f t="shared" ca="1" si="8"/>
        <v>-120.04877699999997</v>
      </c>
      <c r="J29" s="4" cm="1">
        <f t="array" aca="1" ref="J29" ca="1">_FV(U29,"Change (%)",TRUE)</f>
        <v>-1.4641E-2</v>
      </c>
      <c r="K29" s="21">
        <f t="shared" ca="1" si="9"/>
        <v>-69.608456255942997</v>
      </c>
      <c r="L29" s="48" cm="1">
        <f t="array" aca="1" ref="L29" ca="1">_FV(U29,"Price")</f>
        <v>256.47899999999998</v>
      </c>
      <c r="M29" s="8">
        <f t="shared" si="6"/>
        <v>1.7423674643116539E-2</v>
      </c>
      <c r="N29" s="3"/>
      <c r="O29" s="3" t="s">
        <v>72</v>
      </c>
      <c r="P29" s="21">
        <v>4874.3999999999996</v>
      </c>
      <c r="Q29" s="14">
        <f t="shared" ca="1" si="10"/>
        <v>1538.8739999999998</v>
      </c>
      <c r="R29" s="14">
        <v>219.03</v>
      </c>
      <c r="S29" s="3">
        <v>6</v>
      </c>
      <c r="T29" s="94" t="s">
        <v>85</v>
      </c>
      <c r="U29" s="17" t="e" vm="27">
        <v>#VALUE!</v>
      </c>
      <c r="V29" s="53">
        <v>12</v>
      </c>
      <c r="W29" s="79"/>
      <c r="X29" s="79"/>
    </row>
    <row r="30" spans="1:26" ht="16.2" thickBot="1" x14ac:dyDescent="0.4">
      <c r="A30" s="79"/>
      <c r="B30" s="79"/>
      <c r="C30" s="111">
        <f>SUMIF(O:O, D30, M:M)</f>
        <v>0.10825065541634324</v>
      </c>
      <c r="D30" s="116" t="s">
        <v>70</v>
      </c>
      <c r="E30" s="79"/>
      <c r="F30" s="79"/>
      <c r="G30" s="79"/>
      <c r="H30" s="54">
        <f t="shared" ca="1" si="7"/>
        <v>0.2867610619469026</v>
      </c>
      <c r="I30" s="87">
        <f t="shared" ca="1" si="8"/>
        <v>1474.3114500000011</v>
      </c>
      <c r="J30" s="62" cm="1">
        <f t="array" aca="1" ref="J30" ca="1">_FV(U30,"Change (%)",TRUE)</f>
        <v>-8.6449999999999999E-3</v>
      </c>
      <c r="K30" s="87">
        <f t="shared" ca="1" si="9"/>
        <v>-97.088895335250001</v>
      </c>
      <c r="L30" s="56" cm="1">
        <f t="array" aca="1" ref="L30" ca="1">_FV(U30,"Price")</f>
        <v>181.755</v>
      </c>
      <c r="M30" s="57">
        <f t="shared" si="6"/>
        <v>3.4874265474905054E-2</v>
      </c>
      <c r="N30" s="58"/>
      <c r="O30" s="58" t="s">
        <v>74</v>
      </c>
      <c r="P30" s="87">
        <v>9756.33</v>
      </c>
      <c r="Q30" s="59">
        <f t="shared" ca="1" si="10"/>
        <v>3635.1</v>
      </c>
      <c r="R30" s="59">
        <v>141.25</v>
      </c>
      <c r="S30" s="58">
        <v>20</v>
      </c>
      <c r="T30" s="95" t="s">
        <v>11</v>
      </c>
      <c r="U30" s="63" t="e" vm="15">
        <v>#VALUE!</v>
      </c>
      <c r="V30" s="61">
        <v>13</v>
      </c>
      <c r="W30" s="79"/>
      <c r="X30" s="79"/>
    </row>
    <row r="31" spans="1:26" ht="15.6" x14ac:dyDescent="0.35">
      <c r="A31" s="79"/>
      <c r="B31" s="79"/>
      <c r="C31" s="111">
        <f>SUMIF(O:O, D31, M:M)</f>
        <v>0.12439772346951175</v>
      </c>
      <c r="D31" s="116" t="s">
        <v>72</v>
      </c>
      <c r="E31" s="79"/>
      <c r="F31" s="79"/>
      <c r="G31" s="79"/>
      <c r="H31" s="125"/>
      <c r="I31" s="125"/>
      <c r="J31" s="125"/>
      <c r="K31" s="125"/>
      <c r="L31" s="125"/>
      <c r="M31" s="125"/>
      <c r="N31" s="125"/>
      <c r="O31" s="125"/>
      <c r="P31" s="125"/>
      <c r="Q31" s="125"/>
      <c r="R31" s="125"/>
      <c r="S31" s="125"/>
      <c r="T31" s="125"/>
      <c r="U31" s="125"/>
      <c r="V31" s="125"/>
      <c r="W31" s="79"/>
      <c r="X31" s="79"/>
    </row>
    <row r="32" spans="1:26" ht="16.2" thickBot="1" x14ac:dyDescent="0.4">
      <c r="A32" s="79"/>
      <c r="B32" s="79"/>
      <c r="C32" s="111">
        <f>SUMIF(O:O, D32, M:M)</f>
        <v>2.377031890750729E-2</v>
      </c>
      <c r="D32" s="116" t="s">
        <v>81</v>
      </c>
      <c r="E32" s="79"/>
      <c r="F32" s="79"/>
      <c r="G32" s="79"/>
      <c r="H32" s="125"/>
      <c r="I32" s="125"/>
      <c r="J32" s="125"/>
      <c r="K32" s="125"/>
      <c r="L32" s="125"/>
      <c r="M32" s="125"/>
      <c r="N32" s="125"/>
      <c r="O32" s="125"/>
      <c r="P32" s="125"/>
      <c r="Q32" s="125"/>
      <c r="R32" s="125"/>
      <c r="S32" s="125"/>
      <c r="T32" s="125"/>
      <c r="U32" s="125"/>
      <c r="V32" s="125"/>
      <c r="W32" s="79"/>
      <c r="X32" s="79"/>
    </row>
    <row r="33" spans="1:24" ht="16.2" thickBot="1" x14ac:dyDescent="0.4">
      <c r="A33" s="79"/>
      <c r="B33" s="79"/>
      <c r="C33" s="111">
        <f>SUMIF(O:O, D33, M:M)</f>
        <v>2.1051176182039798E-2</v>
      </c>
      <c r="D33" s="116" t="s">
        <v>76</v>
      </c>
      <c r="E33" s="79"/>
      <c r="F33" s="79"/>
      <c r="G33" s="79"/>
      <c r="H33" s="144" t="s">
        <v>56</v>
      </c>
      <c r="I33" s="145"/>
      <c r="J33" s="145"/>
      <c r="K33" s="145"/>
      <c r="L33" s="145"/>
      <c r="M33" s="145"/>
      <c r="N33" s="145"/>
      <c r="O33" s="145"/>
      <c r="P33" s="145"/>
      <c r="Q33" s="145"/>
      <c r="R33" s="145"/>
      <c r="S33" s="145"/>
      <c r="T33" s="145"/>
      <c r="U33" s="145"/>
      <c r="V33" s="146"/>
      <c r="W33" s="79"/>
      <c r="X33" s="79"/>
    </row>
    <row r="34" spans="1:24" ht="15.6" x14ac:dyDescent="0.35">
      <c r="A34" s="79"/>
      <c r="B34" s="79"/>
      <c r="C34" s="111">
        <f>SUMIF(O:O, D34, M:M)</f>
        <v>1.1666255417329787E-2</v>
      </c>
      <c r="D34" s="116" t="s">
        <v>77</v>
      </c>
      <c r="E34" s="79"/>
      <c r="F34" s="79"/>
      <c r="G34" s="79"/>
      <c r="H34" s="118" t="s">
        <v>65</v>
      </c>
      <c r="I34" s="119" t="s">
        <v>66</v>
      </c>
      <c r="J34" s="119" t="s">
        <v>64</v>
      </c>
      <c r="K34" s="119" t="s">
        <v>7</v>
      </c>
      <c r="L34" s="119" t="s">
        <v>6</v>
      </c>
      <c r="M34" s="119" t="s">
        <v>4</v>
      </c>
      <c r="N34" s="119" t="s">
        <v>49</v>
      </c>
      <c r="O34" s="119" t="s">
        <v>69</v>
      </c>
      <c r="P34" s="119" t="s">
        <v>63</v>
      </c>
      <c r="Q34" s="119" t="s">
        <v>3</v>
      </c>
      <c r="R34" s="119" t="s">
        <v>2</v>
      </c>
      <c r="S34" s="119" t="s">
        <v>1</v>
      </c>
      <c r="T34" s="119" t="s">
        <v>0</v>
      </c>
      <c r="U34" s="119"/>
      <c r="V34" s="120" t="s">
        <v>5</v>
      </c>
      <c r="W34" s="79"/>
      <c r="X34" s="79"/>
    </row>
    <row r="35" spans="1:24" ht="15.6" x14ac:dyDescent="0.35">
      <c r="A35" s="79"/>
      <c r="B35" s="79"/>
      <c r="C35" s="111">
        <f>SUMIF(O:O, D35, M:M)</f>
        <v>7.2792741165029163E-3</v>
      </c>
      <c r="D35" s="116" t="s">
        <v>79</v>
      </c>
      <c r="E35" s="79"/>
      <c r="F35" s="79"/>
      <c r="G35" s="79"/>
      <c r="H35" s="52">
        <f ca="1">(L35-R35)/R35</f>
        <v>0.41157839169452753</v>
      </c>
      <c r="I35" s="21">
        <f t="shared" ref="I35:I45" ca="1" si="11">(L35*S35*$M$2-P35)</f>
        <v>3580.2582999999977</v>
      </c>
      <c r="J35" s="2" cm="1">
        <f t="array" aca="1" ref="J35" ca="1">_FV(U35,"Change (%)",TRUE)</f>
        <v>-1.7634E-2</v>
      </c>
      <c r="K35" s="21">
        <f ca="1">J35*Q35*$M$2</f>
        <v>-305.92835654219999</v>
      </c>
      <c r="L35" s="48" cm="1">
        <f t="array" aca="1" ref="L35" ca="1">_FV(U35,"Price")</f>
        <v>80.22</v>
      </c>
      <c r="M35" s="8">
        <f t="shared" ref="M35:M36" si="12">P35/$U$5</f>
        <v>4.9215947151904429E-2</v>
      </c>
      <c r="N35" s="3"/>
      <c r="O35" s="3" t="s">
        <v>74</v>
      </c>
      <c r="P35" s="21">
        <v>13768.52</v>
      </c>
      <c r="Q35" s="14">
        <f ca="1">L35*S35</f>
        <v>5615.4</v>
      </c>
      <c r="R35" s="14">
        <v>56.83</v>
      </c>
      <c r="S35" s="3">
        <v>70</v>
      </c>
      <c r="T35" s="94" t="s">
        <v>23</v>
      </c>
      <c r="U35" s="17" t="e" vm="28">
        <v>#VALUE!</v>
      </c>
      <c r="V35" s="53">
        <v>14</v>
      </c>
      <c r="W35" s="79"/>
      <c r="X35" s="79"/>
    </row>
    <row r="36" spans="1:24" ht="16.2" thickBot="1" x14ac:dyDescent="0.4">
      <c r="A36" s="79"/>
      <c r="B36" s="79"/>
      <c r="C36" s="112">
        <f>SUM(C21:C35)</f>
        <v>1.0203191130425948</v>
      </c>
      <c r="D36" s="117" t="s">
        <v>84</v>
      </c>
      <c r="E36" s="79"/>
      <c r="F36" s="79"/>
      <c r="G36" s="79"/>
      <c r="H36" s="52">
        <f t="shared" ref="H36:H45" ca="1" si="13">(L36-R36)/R36</f>
        <v>-0.11161351737267979</v>
      </c>
      <c r="I36" s="21">
        <f t="shared" ca="1" si="11"/>
        <v>-349.49447500000019</v>
      </c>
      <c r="J36" s="2" cm="1">
        <f t="array" aca="1" ref="J36" ca="1">_FV(U36,"Change (%)",TRUE)</f>
        <v>-3.039E-2</v>
      </c>
      <c r="K36" s="21">
        <f t="shared" ref="K36:K45" ca="1" si="14">J36*Q36*$M$2</f>
        <v>-52.573652304749999</v>
      </c>
      <c r="L36" s="48" cm="1">
        <f t="array" aca="1" ref="L36" ca="1">_FV(U36,"Price")</f>
        <v>18.664999999999999</v>
      </c>
      <c r="M36" s="8">
        <f t="shared" si="12"/>
        <v>7.4330860153814047E-3</v>
      </c>
      <c r="N36" s="3"/>
      <c r="O36" s="3" t="s">
        <v>73</v>
      </c>
      <c r="P36" s="21">
        <v>2079.46</v>
      </c>
      <c r="Q36" s="14">
        <f t="shared" ref="Q36:Q45" ca="1" si="15">L36*S36</f>
        <v>559.94999999999993</v>
      </c>
      <c r="R36" s="14">
        <v>21.01</v>
      </c>
      <c r="S36" s="3">
        <v>30</v>
      </c>
      <c r="T36" s="94" t="s">
        <v>14</v>
      </c>
      <c r="U36" s="17" t="e" vm="29">
        <v>#VALUE!</v>
      </c>
      <c r="V36" s="53">
        <v>15</v>
      </c>
      <c r="W36" s="79"/>
      <c r="X36" s="79"/>
    </row>
    <row r="37" spans="1:24" ht="15.6" x14ac:dyDescent="0.35">
      <c r="A37" s="79"/>
      <c r="B37" s="79"/>
      <c r="C37" s="113"/>
      <c r="F37" s="79"/>
      <c r="G37" s="79"/>
      <c r="H37" s="52">
        <f t="shared" ca="1" si="13"/>
        <v>0.18531976744186038</v>
      </c>
      <c r="I37" s="21">
        <f t="shared" ca="1" si="11"/>
        <v>368.14103999999861</v>
      </c>
      <c r="J37" s="2" cm="1">
        <f t="array" aca="1" ref="J37" ca="1">_FV(U37,"Change (%)",TRUE)</f>
        <v>-3.1975999999999997E-2</v>
      </c>
      <c r="K37" s="21">
        <f t="shared" ca="1" si="14"/>
        <v>-309.36239733503993</v>
      </c>
      <c r="L37" s="49" cm="1">
        <f t="array" aca="1" ref="L37" ca="1">_FV(U37,"Price")</f>
        <v>130.47999999999999</v>
      </c>
      <c r="M37" s="8">
        <f>P37/$U$5</f>
        <v>3.3267015133010482E-2</v>
      </c>
      <c r="N37" s="3"/>
      <c r="O37" s="3" t="s">
        <v>70</v>
      </c>
      <c r="P37" s="21">
        <v>9306.69</v>
      </c>
      <c r="Q37" s="14">
        <f t="shared" ca="1" si="15"/>
        <v>3131.5199999999995</v>
      </c>
      <c r="R37" s="14">
        <v>110.08</v>
      </c>
      <c r="S37" s="3">
        <v>24</v>
      </c>
      <c r="T37" s="94" t="s">
        <v>15</v>
      </c>
      <c r="U37" s="17" t="e" vm="30">
        <v>#VALUE!</v>
      </c>
      <c r="V37" s="53">
        <v>16</v>
      </c>
      <c r="W37" s="79"/>
      <c r="X37" s="79"/>
    </row>
    <row r="38" spans="1:24" ht="15.6" x14ac:dyDescent="0.35">
      <c r="A38" s="79"/>
      <c r="B38" s="79"/>
      <c r="C38" s="79"/>
      <c r="D38" s="79"/>
      <c r="E38" s="79"/>
      <c r="F38" s="79"/>
      <c r="G38" s="79"/>
      <c r="H38" s="52">
        <f t="shared" ca="1" si="13"/>
        <v>0.52230504587155968</v>
      </c>
      <c r="I38" s="21">
        <f t="shared" ca="1" si="11"/>
        <v>794.53677500000049</v>
      </c>
      <c r="J38" s="2" cm="1">
        <f t="array" aca="1" ref="J38" ca="1">_FV(U38,"Change (%)",TRUE)</f>
        <v>-2.9897E-2</v>
      </c>
      <c r="K38" s="21">
        <f t="shared" ca="1" si="14"/>
        <v>-122.61228410217501</v>
      </c>
      <c r="L38" s="48" cm="1">
        <f t="array" aca="1" ref="L38" ca="1">_FV(U38,"Price")</f>
        <v>1327.45</v>
      </c>
      <c r="M38" s="8">
        <f t="shared" ref="M38:M45" si="16">P38/$U$5</f>
        <v>1.1819602627692025E-2</v>
      </c>
      <c r="N38" s="3"/>
      <c r="O38" s="3" t="s">
        <v>74</v>
      </c>
      <c r="P38" s="21">
        <v>3306.62</v>
      </c>
      <c r="Q38" s="14">
        <f t="shared" ca="1" si="15"/>
        <v>1327.45</v>
      </c>
      <c r="R38" s="14">
        <v>872</v>
      </c>
      <c r="S38" s="3">
        <v>1</v>
      </c>
      <c r="T38" s="94" t="s">
        <v>16</v>
      </c>
      <c r="U38" s="17" t="e" vm="31">
        <v>#VALUE!</v>
      </c>
      <c r="V38" s="53">
        <v>17</v>
      </c>
      <c r="W38" s="79"/>
      <c r="X38" s="79"/>
    </row>
    <row r="39" spans="1:24" ht="15.6" x14ac:dyDescent="0.35">
      <c r="A39" s="79"/>
      <c r="B39" s="79"/>
      <c r="C39" s="79"/>
      <c r="D39" s="79"/>
      <c r="E39" s="79"/>
      <c r="F39" s="79"/>
      <c r="G39" s="79"/>
      <c r="H39" s="52">
        <f t="shared" ca="1" si="13"/>
        <v>-7.115408454196101E-2</v>
      </c>
      <c r="I39" s="21">
        <f t="shared" ca="1" si="11"/>
        <v>-1094.0103599999993</v>
      </c>
      <c r="J39" s="2" cm="1">
        <f t="array" aca="1" ref="J39" ca="1">_FV(U39,"Change (%)",TRUE)</f>
        <v>-6.7600000000000004E-3</v>
      </c>
      <c r="K39" s="21">
        <f t="shared" ca="1" si="14"/>
        <v>-37.557949166400007</v>
      </c>
      <c r="L39" s="48" cm="1">
        <f t="array" aca="1" ref="L39" ca="1">_FV(U39,"Price")</f>
        <v>74.930000000000007</v>
      </c>
      <c r="M39" s="8">
        <f t="shared" si="16"/>
        <v>2.377031890750729E-2</v>
      </c>
      <c r="N39" s="3"/>
      <c r="O39" s="3" t="s">
        <v>81</v>
      </c>
      <c r="P39" s="21">
        <v>6649.92</v>
      </c>
      <c r="Q39" s="14">
        <f t="shared" ca="1" si="15"/>
        <v>1798.3200000000002</v>
      </c>
      <c r="R39" s="108">
        <v>80.67</v>
      </c>
      <c r="S39" s="3">
        <v>24</v>
      </c>
      <c r="T39" s="94" t="s">
        <v>17</v>
      </c>
      <c r="U39" s="17" t="e" vm="13">
        <v>#VALUE!</v>
      </c>
      <c r="V39" s="53">
        <v>18</v>
      </c>
      <c r="W39" s="79"/>
      <c r="X39" s="79"/>
    </row>
    <row r="40" spans="1:24" ht="15.6" x14ac:dyDescent="0.35">
      <c r="A40" s="79"/>
      <c r="B40" s="79"/>
      <c r="C40" s="79"/>
      <c r="D40" s="79"/>
      <c r="E40" s="79"/>
      <c r="F40" s="79"/>
      <c r="G40" s="79"/>
      <c r="H40" s="52">
        <f t="shared" ca="1" si="13"/>
        <v>0.21470370065111677</v>
      </c>
      <c r="I40" s="21">
        <f t="shared" ca="1" si="11"/>
        <v>122.83305999999993</v>
      </c>
      <c r="J40" s="4" cm="1">
        <f t="array" aca="1" ref="J40" ca="1">_FV(U40,"Change (%)",TRUE)</f>
        <v>5.8699999999999994E-3</v>
      </c>
      <c r="K40" s="21">
        <f t="shared" ca="1" si="14"/>
        <v>16.036740562199999</v>
      </c>
      <c r="L40" s="48" cm="1">
        <f t="array" aca="1" ref="L40" ca="1">_FV(U40,"Price")</f>
        <v>147.38</v>
      </c>
      <c r="M40" s="8">
        <f t="shared" si="16"/>
        <v>9.3264772474740531E-3</v>
      </c>
      <c r="N40" s="3"/>
      <c r="O40" s="3" t="s">
        <v>75</v>
      </c>
      <c r="P40" s="21">
        <v>2609.15</v>
      </c>
      <c r="Q40" s="14">
        <f t="shared" ca="1" si="15"/>
        <v>884.28</v>
      </c>
      <c r="R40" s="14">
        <v>121.33</v>
      </c>
      <c r="S40" s="3">
        <v>6</v>
      </c>
      <c r="T40" s="94" t="s">
        <v>24</v>
      </c>
      <c r="U40" s="23" t="e" vm="32">
        <v>#VALUE!</v>
      </c>
      <c r="V40" s="53">
        <v>19</v>
      </c>
      <c r="W40" s="79"/>
      <c r="X40" s="79"/>
    </row>
    <row r="41" spans="1:24" ht="15.6" x14ac:dyDescent="0.35">
      <c r="A41" s="79"/>
      <c r="B41" s="79"/>
      <c r="C41" s="79"/>
      <c r="D41" s="79"/>
      <c r="E41" s="79"/>
      <c r="F41" s="79"/>
      <c r="G41" s="79"/>
      <c r="H41" s="52">
        <f t="shared" ca="1" si="13"/>
        <v>-0.6495310326257685</v>
      </c>
      <c r="I41" s="21">
        <f t="shared" ca="1" si="11"/>
        <v>-6521.2659699999995</v>
      </c>
      <c r="J41" s="4" cm="1">
        <f t="array" aca="1" ref="J41" ca="1">_FV(U41,"Change (%)",TRUE)</f>
        <v>-4.9059999999999998E-3</v>
      </c>
      <c r="K41" s="21">
        <f t="shared" ca="1" si="14"/>
        <v>-14.204312511179999</v>
      </c>
      <c r="L41" s="48" cm="1">
        <f t="array" aca="1" ref="L41" ca="1">_FV(U41,"Price")</f>
        <v>78.094999999999999</v>
      </c>
      <c r="M41" s="8">
        <f t="shared" si="16"/>
        <v>3.3659748419782018E-2</v>
      </c>
      <c r="N41" s="3"/>
      <c r="O41" s="3" t="s">
        <v>71</v>
      </c>
      <c r="P41" s="21">
        <v>9416.56</v>
      </c>
      <c r="Q41" s="14">
        <f t="shared" ca="1" si="15"/>
        <v>937.14</v>
      </c>
      <c r="R41" s="14">
        <v>222.83</v>
      </c>
      <c r="S41" s="3">
        <v>12</v>
      </c>
      <c r="T41" s="94" t="s">
        <v>25</v>
      </c>
      <c r="U41" s="23" t="e" vm="33">
        <v>#VALUE!</v>
      </c>
      <c r="V41" s="53">
        <v>20</v>
      </c>
      <c r="W41" s="79"/>
      <c r="X41" s="79"/>
    </row>
    <row r="42" spans="1:24" ht="15.6" x14ac:dyDescent="0.35">
      <c r="A42" s="79"/>
      <c r="B42" s="79"/>
      <c r="C42" s="79"/>
      <c r="D42" s="79"/>
      <c r="E42" s="79"/>
      <c r="F42" s="79"/>
      <c r="G42" s="79"/>
      <c r="H42" s="52">
        <f t="shared" ca="1" si="13"/>
        <v>-0.219233776387803</v>
      </c>
      <c r="I42" s="21">
        <f t="shared" ca="1" si="11"/>
        <v>-2294.0706</v>
      </c>
      <c r="J42" s="4" cm="1">
        <f t="array" aca="1" ref="J42" ca="1">_FV(U42,"Change (%)",TRUE)</f>
        <v>-8.2920000000000008E-3</v>
      </c>
      <c r="K42" s="21">
        <f t="shared" ca="1" si="14"/>
        <v>-51.164537224800007</v>
      </c>
      <c r="L42" s="48" cm="1">
        <f t="array" aca="1" ref="L42" ca="1">_FV(U42,"Price")</f>
        <v>199.72</v>
      </c>
      <c r="M42" s="8">
        <f t="shared" si="16"/>
        <v>3.0256298236231844E-2</v>
      </c>
      <c r="N42" s="3"/>
      <c r="O42" s="3" t="s">
        <v>71</v>
      </c>
      <c r="P42" s="21">
        <v>8464.42</v>
      </c>
      <c r="Q42" s="14">
        <f t="shared" ca="1" si="15"/>
        <v>1997.2</v>
      </c>
      <c r="R42" s="14">
        <v>255.8</v>
      </c>
      <c r="S42" s="3">
        <v>10</v>
      </c>
      <c r="T42" s="94" t="s">
        <v>46</v>
      </c>
      <c r="U42" s="23" t="e" vm="11">
        <v>#VALUE!</v>
      </c>
      <c r="V42" s="53">
        <v>21</v>
      </c>
      <c r="W42" s="79"/>
      <c r="X42" s="79"/>
    </row>
    <row r="43" spans="1:24" ht="15.6" x14ac:dyDescent="0.35">
      <c r="A43" s="79"/>
      <c r="B43" s="79"/>
      <c r="C43" s="79"/>
      <c r="D43" s="79"/>
      <c r="E43" s="79"/>
      <c r="F43" s="79"/>
      <c r="G43" s="79"/>
      <c r="H43" s="52">
        <f t="shared" ca="1" si="13"/>
        <v>-0.58468761285662696</v>
      </c>
      <c r="I43" s="21">
        <f t="shared" ca="1" si="11"/>
        <v>-3854.6624999999999</v>
      </c>
      <c r="J43" s="4" cm="1">
        <f t="array" aca="1" ref="J43" ca="1">_FV(U43,"Change (%)",TRUE)</f>
        <v>-4.2465000000000003E-2</v>
      </c>
      <c r="K43" s="21">
        <f t="shared" ca="1" si="14"/>
        <v>-105.61247208750001</v>
      </c>
      <c r="L43" s="48" cm="1">
        <f t="array" aca="1" ref="L43" ca="1">_FV(U43,"Price")</f>
        <v>11.5</v>
      </c>
      <c r="M43" s="8">
        <f t="shared" si="16"/>
        <v>2.2668613926021375E-2</v>
      </c>
      <c r="N43" s="3"/>
      <c r="O43" s="3" t="s">
        <v>73</v>
      </c>
      <c r="P43" s="21">
        <v>6341.71</v>
      </c>
      <c r="Q43" s="14">
        <f t="shared" ca="1" si="15"/>
        <v>805</v>
      </c>
      <c r="R43" s="14">
        <v>27.69</v>
      </c>
      <c r="S43" s="3">
        <v>70</v>
      </c>
      <c r="T43" s="94" t="s">
        <v>54</v>
      </c>
      <c r="U43" s="23" t="e" vm="34">
        <v>#VALUE!</v>
      </c>
      <c r="V43" s="53">
        <v>21</v>
      </c>
      <c r="W43" s="79"/>
      <c r="X43" s="79"/>
    </row>
    <row r="44" spans="1:24" ht="16.2" thickBot="1" x14ac:dyDescent="0.4">
      <c r="A44" s="79"/>
      <c r="B44" s="79"/>
      <c r="C44" s="79"/>
      <c r="D44" s="79"/>
      <c r="E44" s="79"/>
      <c r="F44" s="79"/>
      <c r="G44" s="79"/>
      <c r="H44" s="52">
        <f t="shared" ref="H44" ca="1" si="17">(L44-R44)/R44</f>
        <v>3.0931571952152754E-2</v>
      </c>
      <c r="I44" s="21">
        <f t="shared" ref="I44" ca="1" si="18">(L44*S44*$M$2-P44)</f>
        <v>176.45315000000028</v>
      </c>
      <c r="J44" s="4" cm="1">
        <f t="array" aca="1" ref="J44" ca="1">_FV(U44,"Change (%)",TRUE)</f>
        <v>-2.261E-3</v>
      </c>
      <c r="K44" s="21">
        <f t="shared" ref="K44" ca="1" si="19">J44*Q44*$M$2</f>
        <v>-17.880424712149999</v>
      </c>
      <c r="L44" s="48" cm="1">
        <f t="array" aca="1" ref="L44" ca="1">_FV(U44,"Price")</f>
        <v>255.97</v>
      </c>
      <c r="M44" s="8">
        <f t="shared" ref="M44" si="20">P44/$U$5</f>
        <v>2.7637313758651295E-2</v>
      </c>
      <c r="N44" s="3"/>
      <c r="O44" s="3" t="s">
        <v>82</v>
      </c>
      <c r="P44" s="21">
        <v>7731.74</v>
      </c>
      <c r="Q44" s="14">
        <f t="shared" ref="Q44" ca="1" si="21">L44*S44</f>
        <v>2559.6999999999998</v>
      </c>
      <c r="R44" s="14">
        <v>248.29</v>
      </c>
      <c r="S44" s="3">
        <v>10</v>
      </c>
      <c r="T44" s="94" t="s">
        <v>86</v>
      </c>
      <c r="U44" s="64" t="e" vm="35">
        <v>#VALUE!</v>
      </c>
      <c r="V44" s="61">
        <v>22</v>
      </c>
      <c r="W44" s="79"/>
      <c r="X44" s="79"/>
    </row>
    <row r="45" spans="1:24" ht="16.2" thickBot="1" x14ac:dyDescent="0.4">
      <c r="A45" s="79"/>
      <c r="B45" s="79"/>
      <c r="C45" s="79"/>
      <c r="D45" s="79"/>
      <c r="E45" s="79"/>
      <c r="F45" s="79"/>
      <c r="G45" s="79"/>
      <c r="H45" s="54">
        <f t="shared" ca="1" si="13"/>
        <v>-0.263994610980128</v>
      </c>
      <c r="I45" s="87">
        <f t="shared" ca="1" si="11"/>
        <v>-2450.0096799999992</v>
      </c>
      <c r="J45" s="55" cm="1">
        <f t="array" aca="1" ref="J45" ca="1">_FV(U45,"Change (%)",TRUE)</f>
        <v>-3.8626999999999995E-2</v>
      </c>
      <c r="K45" s="87">
        <f t="shared" ca="1" si="14"/>
        <v>-208.62212174063998</v>
      </c>
      <c r="L45" s="56" cm="1">
        <f t="array" aca="1" ref="L45" ca="1">_FV(U45,"Price")</f>
        <v>21.852</v>
      </c>
      <c r="M45" s="57">
        <f t="shared" si="16"/>
        <v>2.8063433128051821E-2</v>
      </c>
      <c r="N45" s="58"/>
      <c r="O45" s="58" t="s">
        <v>82</v>
      </c>
      <c r="P45" s="87">
        <v>7850.95</v>
      </c>
      <c r="Q45" s="59">
        <f t="shared" ca="1" si="15"/>
        <v>1748.16</v>
      </c>
      <c r="R45" s="59">
        <v>29.69</v>
      </c>
      <c r="S45" s="58">
        <v>80</v>
      </c>
      <c r="T45" s="95" t="s">
        <v>51</v>
      </c>
      <c r="U45" s="64" t="e" vm="36">
        <v>#VALUE!</v>
      </c>
      <c r="V45" s="61">
        <v>23</v>
      </c>
      <c r="W45" s="79"/>
      <c r="X45" s="79"/>
    </row>
    <row r="46" spans="1:24" x14ac:dyDescent="0.25">
      <c r="A46" s="79"/>
      <c r="B46" s="79"/>
      <c r="C46" s="79"/>
      <c r="D46" s="79"/>
      <c r="E46" s="79"/>
      <c r="F46" s="79"/>
      <c r="G46" s="79"/>
      <c r="H46" s="125"/>
      <c r="I46" s="125"/>
      <c r="J46" s="125"/>
      <c r="K46" s="125"/>
      <c r="L46" s="125"/>
      <c r="M46" s="125"/>
      <c r="N46" s="125"/>
      <c r="O46" s="125"/>
      <c r="P46" s="125"/>
      <c r="Q46" s="125"/>
      <c r="R46" s="125"/>
      <c r="S46" s="125"/>
      <c r="T46" s="125"/>
      <c r="U46" s="125"/>
      <c r="V46" s="125"/>
      <c r="W46" s="79"/>
      <c r="X46" s="79"/>
    </row>
    <row r="47" spans="1:24" ht="15.6" customHeight="1" thickBot="1" x14ac:dyDescent="0.3">
      <c r="A47" s="79"/>
      <c r="B47" s="79"/>
      <c r="C47" s="79"/>
      <c r="D47" s="79"/>
      <c r="E47" s="79"/>
      <c r="F47" s="79"/>
      <c r="G47" s="79"/>
      <c r="H47" s="125"/>
      <c r="I47" s="125"/>
      <c r="J47" s="125"/>
      <c r="K47" s="125"/>
      <c r="L47" s="125"/>
      <c r="M47" s="125"/>
      <c r="N47" s="125"/>
      <c r="O47" s="125"/>
      <c r="P47" s="125"/>
      <c r="Q47" s="125"/>
      <c r="R47" s="125"/>
      <c r="S47" s="125"/>
      <c r="T47" s="125"/>
      <c r="U47" s="125"/>
      <c r="V47" s="125"/>
      <c r="W47" s="79"/>
      <c r="X47" s="79"/>
    </row>
    <row r="48" spans="1:24" ht="16.2" thickBot="1" x14ac:dyDescent="0.4">
      <c r="A48" s="79"/>
      <c r="B48" s="79"/>
      <c r="C48" s="79"/>
      <c r="D48" s="79"/>
      <c r="E48" s="79"/>
      <c r="F48" s="79"/>
      <c r="G48" s="79"/>
      <c r="H48" s="144" t="s">
        <v>30</v>
      </c>
      <c r="I48" s="145"/>
      <c r="J48" s="145"/>
      <c r="K48" s="145"/>
      <c r="L48" s="145"/>
      <c r="M48" s="145"/>
      <c r="N48" s="145"/>
      <c r="O48" s="145"/>
      <c r="P48" s="145"/>
      <c r="Q48" s="145"/>
      <c r="R48" s="145"/>
      <c r="S48" s="145"/>
      <c r="T48" s="145"/>
      <c r="U48" s="145"/>
      <c r="V48" s="146"/>
      <c r="W48" s="79"/>
      <c r="X48" s="79"/>
    </row>
    <row r="49" spans="1:24" ht="15.6" x14ac:dyDescent="0.35">
      <c r="A49" s="79"/>
      <c r="B49" s="79"/>
      <c r="C49" s="79"/>
      <c r="D49" s="79"/>
      <c r="E49" s="79"/>
      <c r="F49" s="79"/>
      <c r="G49" s="79"/>
      <c r="H49" s="118" t="s">
        <v>65</v>
      </c>
      <c r="I49" s="119" t="s">
        <v>66</v>
      </c>
      <c r="J49" s="119" t="s">
        <v>64</v>
      </c>
      <c r="K49" s="119" t="s">
        <v>7</v>
      </c>
      <c r="L49" s="119" t="s">
        <v>6</v>
      </c>
      <c r="M49" s="119" t="s">
        <v>4</v>
      </c>
      <c r="N49" s="119" t="s">
        <v>49</v>
      </c>
      <c r="O49" s="119" t="s">
        <v>69</v>
      </c>
      <c r="P49" s="119" t="s">
        <v>63</v>
      </c>
      <c r="Q49" s="119" t="s">
        <v>3</v>
      </c>
      <c r="R49" s="119" t="s">
        <v>2</v>
      </c>
      <c r="S49" s="119" t="s">
        <v>1</v>
      </c>
      <c r="T49" s="119" t="s">
        <v>0</v>
      </c>
      <c r="U49" s="119"/>
      <c r="V49" s="120" t="s">
        <v>5</v>
      </c>
      <c r="W49" s="79"/>
      <c r="X49" s="79"/>
    </row>
    <row r="50" spans="1:24" ht="15.6" x14ac:dyDescent="0.35">
      <c r="A50" s="79"/>
      <c r="B50" s="79"/>
      <c r="C50" s="79"/>
      <c r="D50" s="79"/>
      <c r="E50" s="79"/>
      <c r="F50" s="79"/>
      <c r="G50" s="79"/>
      <c r="H50" s="52">
        <f ca="1">(L50-R50)/R50</f>
        <v>2.8227119748127281E-2</v>
      </c>
      <c r="I50" s="88">
        <f ca="1">(L50*S50*$M$2-P50)</f>
        <v>-622.30219000000034</v>
      </c>
      <c r="J50" s="4" cm="1">
        <f t="array" aca="1" ref="J50" ca="1">_FV(U50,"Change (%)",TRUE)</f>
        <v>-1.6067999999999999E-2</v>
      </c>
      <c r="K50" s="21">
        <f ca="1">J50*Q50*$M$2</f>
        <v>-84.628835371079987</v>
      </c>
      <c r="L50" s="5" cm="1">
        <f t="array" aca="1" ref="L50" ca="1">_FV(U50,"Price")</f>
        <v>284.13</v>
      </c>
      <c r="M50" s="9">
        <f>P50/$U$5</f>
        <v>2.1051176182039798E-2</v>
      </c>
      <c r="N50" s="6"/>
      <c r="O50" s="6" t="s">
        <v>76</v>
      </c>
      <c r="P50" s="88">
        <v>5889.22</v>
      </c>
      <c r="Q50" s="15">
        <f ca="1">L50*S50</f>
        <v>1704.78</v>
      </c>
      <c r="R50" s="15">
        <v>276.33</v>
      </c>
      <c r="S50" s="6">
        <v>6</v>
      </c>
      <c r="T50" s="96" t="s">
        <v>26</v>
      </c>
      <c r="U50" s="23" t="e" vm="37">
        <v>#VALUE!</v>
      </c>
      <c r="V50" s="53">
        <v>23</v>
      </c>
      <c r="W50" s="79"/>
      <c r="X50" s="79"/>
    </row>
    <row r="51" spans="1:24" ht="15.6" x14ac:dyDescent="0.35">
      <c r="A51" s="79"/>
      <c r="B51" s="79"/>
      <c r="C51" s="79"/>
      <c r="D51" s="79"/>
      <c r="E51" s="79"/>
      <c r="F51" s="79"/>
      <c r="G51" s="79"/>
      <c r="H51" s="52">
        <f t="shared" ref="H51:H55" ca="1" si="22">(L51-R51)/R51</f>
        <v>-0.1211890243902439</v>
      </c>
      <c r="I51" s="88">
        <f t="shared" ref="I51:I55" ca="1" si="23">(L51*S51*$M$2-P51)</f>
        <v>-265.98162499999989</v>
      </c>
      <c r="J51" s="4" cm="1">
        <f t="array" aca="1" ref="J51" ca="1">_FV(U51,"Change (%)",TRUE)</f>
        <v>-1.732E-3</v>
      </c>
      <c r="K51" s="21">
        <f t="shared" ref="K51:K55" ca="1" si="24">J51*Q51*$M$2</f>
        <v>-1.5424297855</v>
      </c>
      <c r="L51" s="5" cm="1">
        <f t="array" aca="1" ref="L51" ca="1">_FV(U51,"Price")</f>
        <v>11.53</v>
      </c>
      <c r="M51" s="9">
        <f t="shared" ref="M51:M55" si="25">P51/$U$5</f>
        <v>4.1340477669053769E-3</v>
      </c>
      <c r="N51" s="6"/>
      <c r="O51" s="6" t="s">
        <v>71</v>
      </c>
      <c r="P51" s="88">
        <v>1156.53</v>
      </c>
      <c r="Q51" s="15">
        <f t="shared" ref="Q51:Q55" ca="1" si="26">L51*S51</f>
        <v>288.25</v>
      </c>
      <c r="R51" s="15">
        <v>13.12</v>
      </c>
      <c r="S51" s="6">
        <v>25</v>
      </c>
      <c r="T51" s="96" t="s">
        <v>27</v>
      </c>
      <c r="U51" s="23" t="e" vm="38">
        <v>#VALUE!</v>
      </c>
      <c r="V51" s="53">
        <v>24</v>
      </c>
      <c r="W51" s="79"/>
      <c r="X51" s="79"/>
    </row>
    <row r="52" spans="1:24" ht="15.6" x14ac:dyDescent="0.35">
      <c r="A52" s="79"/>
      <c r="B52" s="79"/>
      <c r="C52" s="79"/>
      <c r="D52" s="79"/>
      <c r="E52" s="79"/>
      <c r="F52" s="79"/>
      <c r="G52" s="79"/>
      <c r="H52" s="52">
        <f t="shared" ca="1" si="22"/>
        <v>7.6202928870293007E-2</v>
      </c>
      <c r="I52" s="88">
        <f t="shared" ca="1" si="23"/>
        <v>-161.59396249999986</v>
      </c>
      <c r="J52" s="4" cm="1">
        <f t="array" aca="1" ref="J52" ca="1">_FV(U52,"Change (%)",TRUE)</f>
        <v>-4.4352999999999997E-2</v>
      </c>
      <c r="K52" s="21">
        <f t="shared" ca="1" si="24"/>
        <v>-70.490934211237516</v>
      </c>
      <c r="L52" s="5" cm="1">
        <f t="array" aca="1" ref="L52" ca="1">_FV(U52,"Price")</f>
        <v>51.442500000000003</v>
      </c>
      <c r="M52" s="9">
        <f t="shared" si="25"/>
        <v>6.2586751537377283E-3</v>
      </c>
      <c r="N52" s="6"/>
      <c r="O52" s="6" t="s">
        <v>77</v>
      </c>
      <c r="P52" s="88">
        <v>1750.91</v>
      </c>
      <c r="Q52" s="15">
        <f t="shared" ca="1" si="26"/>
        <v>514.42500000000007</v>
      </c>
      <c r="R52" s="15">
        <v>47.8</v>
      </c>
      <c r="S52" s="6">
        <v>10</v>
      </c>
      <c r="T52" s="96" t="s">
        <v>28</v>
      </c>
      <c r="U52" s="23" t="e" vm="39">
        <v>#VALUE!</v>
      </c>
      <c r="V52" s="53">
        <v>25</v>
      </c>
      <c r="W52" s="79"/>
      <c r="X52" s="79"/>
    </row>
    <row r="53" spans="1:24" ht="15.6" x14ac:dyDescent="0.35">
      <c r="A53" s="79"/>
      <c r="B53" s="79"/>
      <c r="C53" s="79"/>
      <c r="D53" s="79"/>
      <c r="E53" s="79"/>
      <c r="F53" s="79"/>
      <c r="G53" s="79"/>
      <c r="H53" s="52">
        <f t="shared" ca="1" si="22"/>
        <v>-4.5216127860515855E-2</v>
      </c>
      <c r="I53" s="88">
        <f t="shared" ca="1" si="23"/>
        <v>-294.68811899999992</v>
      </c>
      <c r="J53" s="4" cm="1">
        <f t="array" aca="1" ref="J53" ca="1">_FV(U53,"Change (%)",TRUE)</f>
        <v>-1.2206E-2</v>
      </c>
      <c r="K53" s="21">
        <f t="shared" ca="1" si="24"/>
        <v>-14.868395679486001</v>
      </c>
      <c r="L53" s="5" cm="1">
        <f t="array" aca="1" ref="L53" ca="1">_FV(U53,"Price")</f>
        <v>26.2852</v>
      </c>
      <c r="M53" s="9">
        <f t="shared" si="25"/>
        <v>5.4075802635920591E-3</v>
      </c>
      <c r="N53" s="6"/>
      <c r="O53" s="6" t="s">
        <v>77</v>
      </c>
      <c r="P53" s="88">
        <v>1512.81</v>
      </c>
      <c r="Q53" s="15">
        <f t="shared" ca="1" si="26"/>
        <v>394.27800000000002</v>
      </c>
      <c r="R53" s="15">
        <v>27.53</v>
      </c>
      <c r="S53" s="6">
        <v>15</v>
      </c>
      <c r="T53" s="96" t="s">
        <v>29</v>
      </c>
      <c r="U53" s="23" t="e" vm="40">
        <v>#VALUE!</v>
      </c>
      <c r="V53" s="53">
        <v>26</v>
      </c>
      <c r="W53" s="79"/>
      <c r="X53" s="79"/>
    </row>
    <row r="54" spans="1:24" ht="15.6" x14ac:dyDescent="0.35">
      <c r="A54" s="79"/>
      <c r="B54" s="79"/>
      <c r="C54" s="79"/>
      <c r="D54" s="79"/>
      <c r="E54" s="79"/>
      <c r="F54" s="79"/>
      <c r="G54" s="79"/>
      <c r="H54" s="52">
        <f t="shared" ref="H54" ca="1" si="27">(L54-R54)/R54</f>
        <v>-0.1427145708582834</v>
      </c>
      <c r="I54" s="88">
        <f t="shared" ref="I54" ca="1" si="28">(L54*S54*$M$2-P54)</f>
        <v>-960.30924999999979</v>
      </c>
      <c r="J54" s="4" cm="1">
        <f t="array" aca="1" ref="J54" ca="1">_FV(U54,"Change (%)",TRUE)</f>
        <v>1.2971999999999999E-2</v>
      </c>
      <c r="K54" s="21">
        <f t="shared" ref="K54" ca="1" si="29">J54*Q54*$M$2</f>
        <v>51.639206768999998</v>
      </c>
      <c r="L54" s="5" cm="1">
        <f t="array" aca="1" ref="L54" ca="1">_FV(U54,"Price")</f>
        <v>4.2949999999999999</v>
      </c>
      <c r="M54" s="9">
        <f t="shared" si="25"/>
        <v>1.7662202833034307E-2</v>
      </c>
      <c r="N54" s="6"/>
      <c r="O54" s="6" t="s">
        <v>78</v>
      </c>
      <c r="P54" s="88">
        <v>4941.13</v>
      </c>
      <c r="Q54" s="15">
        <f t="shared" ref="Q54" ca="1" si="30">L54*S54</f>
        <v>1288.5</v>
      </c>
      <c r="R54" s="107">
        <v>5.01</v>
      </c>
      <c r="S54" s="6">
        <v>300</v>
      </c>
      <c r="T54" s="96" t="s">
        <v>55</v>
      </c>
      <c r="U54" s="23" t="e" vm="41">
        <v>#VALUE!</v>
      </c>
      <c r="V54" s="53">
        <v>27</v>
      </c>
      <c r="W54" s="79"/>
      <c r="X54" s="79"/>
    </row>
    <row r="55" spans="1:24" ht="15.6" x14ac:dyDescent="0.35">
      <c r="A55" s="79"/>
      <c r="B55" s="79"/>
      <c r="C55" s="79"/>
      <c r="D55" s="79"/>
      <c r="E55" s="79"/>
      <c r="F55" s="79"/>
      <c r="G55" s="79"/>
      <c r="H55" s="52">
        <f t="shared" ca="1" si="22"/>
        <v>-0.33275563258232227</v>
      </c>
      <c r="I55" s="88">
        <f t="shared" ca="1" si="23"/>
        <v>-2076.6574999999998</v>
      </c>
      <c r="J55" s="4" cm="1">
        <f t="array" aca="1" ref="J55" ca="1">_FV(U55,"Change (%)",TRUE)</f>
        <v>-2.0355999999999999E-2</v>
      </c>
      <c r="K55" s="21">
        <f t="shared" ca="1" si="24"/>
        <v>-72.637790609999996</v>
      </c>
      <c r="L55" s="5" cm="1">
        <f t="array" aca="1" ref="L55" ca="1">_FV(U55,"Price")</f>
        <v>7.7</v>
      </c>
      <c r="M55" s="9">
        <f t="shared" si="25"/>
        <v>2.0178312422171378E-2</v>
      </c>
      <c r="N55" s="6"/>
      <c r="O55" s="6" t="s">
        <v>78</v>
      </c>
      <c r="P55" s="88">
        <v>5645.03</v>
      </c>
      <c r="Q55" s="15">
        <f t="shared" ca="1" si="26"/>
        <v>1155</v>
      </c>
      <c r="R55" s="107">
        <v>11.54</v>
      </c>
      <c r="S55" s="6">
        <v>150</v>
      </c>
      <c r="T55" s="96" t="s">
        <v>67</v>
      </c>
      <c r="U55" s="23" t="e" vm="42">
        <v>#VALUE!</v>
      </c>
      <c r="V55" s="53">
        <v>28</v>
      </c>
      <c r="W55" s="79"/>
      <c r="X55" s="79"/>
    </row>
    <row r="56" spans="1:24" ht="15.6" customHeight="1" thickBot="1" x14ac:dyDescent="0.4">
      <c r="A56" s="79"/>
      <c r="B56" s="79"/>
      <c r="C56" s="79"/>
      <c r="D56" s="79"/>
      <c r="E56" s="79"/>
      <c r="F56" s="79"/>
      <c r="G56" s="79"/>
      <c r="H56" s="54">
        <f t="shared" ref="H56" ca="1" si="31">(L56-R56)/R56</f>
        <v>-7.2663492858932388E-3</v>
      </c>
      <c r="I56" s="89">
        <f t="shared" ref="I56" ca="1" si="32">(L56*S56*$M$2-P56)</f>
        <v>-176.15045000000009</v>
      </c>
      <c r="J56" s="55" cm="1">
        <f t="array" aca="1" ref="J56" ca="1">_FV(U56,"Change (%)",TRUE)</f>
        <v>-1.2586E-2</v>
      </c>
      <c r="K56" s="87">
        <f t="shared" ref="K56" ca="1" si="33">J56*Q56*$M$2</f>
        <v>-69.327080556300004</v>
      </c>
      <c r="L56" s="65" cm="1">
        <f t="array" aca="1" ref="L56" ca="1">_FV(U56,"Price")</f>
        <v>39.619999999999997</v>
      </c>
      <c r="M56" s="66">
        <f t="shared" ref="M56" si="34">P56/$U$5</f>
        <v>2.0319113042594889E-2</v>
      </c>
      <c r="N56" s="67"/>
      <c r="O56" s="67" t="s">
        <v>82</v>
      </c>
      <c r="P56" s="89">
        <v>5684.42</v>
      </c>
      <c r="Q56" s="68">
        <f t="shared" ref="Q56" ca="1" si="35">L56*S56</f>
        <v>1782.8999999999999</v>
      </c>
      <c r="R56" s="106">
        <v>39.909999999999997</v>
      </c>
      <c r="S56" s="67">
        <v>45</v>
      </c>
      <c r="T56" s="97" t="s">
        <v>61</v>
      </c>
      <c r="U56" s="64" t="e" vm="1">
        <v>#VALUE!</v>
      </c>
      <c r="V56" s="61">
        <v>28</v>
      </c>
      <c r="W56" s="79"/>
      <c r="X56" s="79"/>
    </row>
    <row r="57" spans="1:24" ht="15.6" customHeight="1" x14ac:dyDescent="0.25">
      <c r="A57" s="79"/>
      <c r="B57" s="79"/>
      <c r="C57" s="79"/>
      <c r="D57" s="79"/>
      <c r="E57" s="79"/>
      <c r="F57" s="79"/>
      <c r="G57" s="79"/>
      <c r="H57" s="147"/>
      <c r="I57" s="147"/>
      <c r="J57" s="147"/>
      <c r="K57" s="147"/>
      <c r="L57" s="147"/>
      <c r="M57" s="147"/>
      <c r="N57" s="147"/>
      <c r="O57" s="147"/>
      <c r="P57" s="147"/>
      <c r="Q57" s="147"/>
      <c r="R57" s="147"/>
      <c r="S57" s="147"/>
      <c r="T57" s="147"/>
      <c r="U57" s="147"/>
      <c r="V57" s="147"/>
      <c r="W57" s="79"/>
      <c r="X57" s="79"/>
    </row>
    <row r="58" spans="1:24" ht="14.4" thickBot="1" x14ac:dyDescent="0.3">
      <c r="A58" s="79"/>
      <c r="B58" s="79"/>
      <c r="C58" s="79"/>
      <c r="D58" s="79"/>
      <c r="E58" s="79"/>
      <c r="F58" s="79"/>
      <c r="G58" s="79"/>
      <c r="H58" s="148"/>
      <c r="I58" s="148"/>
      <c r="J58" s="148"/>
      <c r="K58" s="148"/>
      <c r="L58" s="148"/>
      <c r="M58" s="148"/>
      <c r="N58" s="148"/>
      <c r="O58" s="148"/>
      <c r="P58" s="148"/>
      <c r="Q58" s="148"/>
      <c r="R58" s="148"/>
      <c r="S58" s="148"/>
      <c r="T58" s="148"/>
      <c r="U58" s="148"/>
      <c r="V58" s="148"/>
      <c r="W58" s="79"/>
      <c r="X58" s="79"/>
    </row>
    <row r="59" spans="1:24" ht="15.6" x14ac:dyDescent="0.35">
      <c r="A59" s="79"/>
      <c r="B59" s="79"/>
      <c r="C59" s="79"/>
      <c r="D59" s="79"/>
      <c r="E59" s="79"/>
      <c r="F59" s="79"/>
      <c r="G59" s="79"/>
      <c r="H59" s="144" t="s">
        <v>31</v>
      </c>
      <c r="I59" s="145"/>
      <c r="J59" s="145"/>
      <c r="K59" s="145"/>
      <c r="L59" s="145"/>
      <c r="M59" s="145"/>
      <c r="N59" s="145"/>
      <c r="O59" s="145"/>
      <c r="P59" s="145"/>
      <c r="Q59" s="145"/>
      <c r="R59" s="145"/>
      <c r="S59" s="145"/>
      <c r="T59" s="145"/>
      <c r="U59" s="145"/>
      <c r="V59" s="146"/>
      <c r="W59" s="79"/>
      <c r="X59" s="79"/>
    </row>
    <row r="60" spans="1:24" ht="15.6" x14ac:dyDescent="0.35">
      <c r="A60" s="79"/>
      <c r="B60" s="79"/>
      <c r="C60" s="79"/>
      <c r="D60" s="79"/>
      <c r="E60" s="79"/>
      <c r="F60" s="79"/>
      <c r="G60" s="79"/>
      <c r="H60" s="77" t="s">
        <v>65</v>
      </c>
      <c r="I60" s="1" t="s">
        <v>66</v>
      </c>
      <c r="J60" s="1" t="s">
        <v>64</v>
      </c>
      <c r="K60" s="1" t="s">
        <v>7</v>
      </c>
      <c r="L60" s="1" t="s">
        <v>6</v>
      </c>
      <c r="M60" s="1" t="s">
        <v>4</v>
      </c>
      <c r="N60" s="1" t="s">
        <v>49</v>
      </c>
      <c r="O60" s="1" t="s">
        <v>69</v>
      </c>
      <c r="P60" s="1" t="s">
        <v>63</v>
      </c>
      <c r="Q60" s="1" t="s">
        <v>3</v>
      </c>
      <c r="R60" s="1" t="s">
        <v>2</v>
      </c>
      <c r="S60" s="1" t="s">
        <v>1</v>
      </c>
      <c r="T60" s="1" t="s">
        <v>0</v>
      </c>
      <c r="U60" s="1"/>
      <c r="V60" s="53" t="s">
        <v>5</v>
      </c>
      <c r="W60" s="79"/>
      <c r="X60" s="79"/>
    </row>
    <row r="61" spans="1:24" ht="15.6" x14ac:dyDescent="0.35">
      <c r="A61" s="79"/>
      <c r="B61" s="79"/>
      <c r="C61" s="79"/>
      <c r="D61" s="79"/>
      <c r="E61" s="79"/>
      <c r="F61" s="79"/>
      <c r="G61" s="79"/>
      <c r="H61" s="52">
        <f ca="1">(L61-R61)/R61</f>
        <v>0.23264890862005175</v>
      </c>
      <c r="I61" s="90">
        <f ca="1">(L61*S61*$M$2-P61)</f>
        <v>22.320115000000214</v>
      </c>
      <c r="J61" s="10" cm="1">
        <f t="array" aca="1" ref="J61" ca="1">_FV(U61,"Change (%)",TRUE)</f>
        <v>1.7358999999999999E-2</v>
      </c>
      <c r="K61" s="21">
        <f ca="1">J61*Q61*$M$2</f>
        <v>35.737843246284996</v>
      </c>
      <c r="L61" s="11" cm="1">
        <f t="array" aca="1" ref="L61" ca="1">_FV(U61,"Price")</f>
        <v>666.37</v>
      </c>
      <c r="M61" s="12">
        <f>P61/$U$5</f>
        <v>7.2792741165029163E-3</v>
      </c>
      <c r="N61" s="13"/>
      <c r="O61" s="13" t="s">
        <v>79</v>
      </c>
      <c r="P61" s="90">
        <v>2036.43</v>
      </c>
      <c r="Q61" s="16">
        <f ca="1">L61*S61</f>
        <v>666.37</v>
      </c>
      <c r="R61" s="16">
        <v>540.6</v>
      </c>
      <c r="S61" s="13">
        <v>1</v>
      </c>
      <c r="T61" s="98" t="s">
        <v>32</v>
      </c>
      <c r="U61" s="23" t="e" vm="43">
        <v>#VALUE!</v>
      </c>
      <c r="V61" s="51">
        <v>29</v>
      </c>
      <c r="W61" s="79"/>
      <c r="X61" s="79"/>
    </row>
    <row r="62" spans="1:24" ht="15.6" x14ac:dyDescent="0.35">
      <c r="A62" s="79"/>
      <c r="B62" s="79"/>
      <c r="C62" s="79"/>
      <c r="D62" s="79"/>
      <c r="E62" s="79"/>
      <c r="F62" s="79"/>
      <c r="G62" s="79"/>
      <c r="H62" s="52">
        <f t="shared" ref="H62:H63" ca="1" si="36">(L62-R62)/R62</f>
        <v>6.5060240963855445E-2</v>
      </c>
      <c r="I62" s="90">
        <f t="shared" ref="I62:I63" ca="1" si="37">(L62*S62*$M$2-P62)</f>
        <v>-728.33219999999983</v>
      </c>
      <c r="J62" s="10" cm="1">
        <f t="array" aca="1" ref="J62" ca="1">_FV(U62,"Change (%)",TRUE)</f>
        <v>-1.0237000000000001E-2</v>
      </c>
      <c r="K62" s="21">
        <f ca="1">J62*Q62*$M$2</f>
        <v>-58.712755428600012</v>
      </c>
      <c r="L62" s="11" cm="1">
        <f t="array" aca="1" ref="L62" ca="1">_FV(U62,"Price")</f>
        <v>30.94</v>
      </c>
      <c r="M62" s="12">
        <f t="shared" ref="M62:M63" si="38">P62/$U$5</f>
        <v>2.3104598990074578E-2</v>
      </c>
      <c r="N62" s="13"/>
      <c r="O62" s="13" t="s">
        <v>80</v>
      </c>
      <c r="P62" s="90">
        <v>6463.68</v>
      </c>
      <c r="Q62" s="16">
        <f t="shared" ref="Q62:Q63" ca="1" si="39">L62*S62</f>
        <v>1856.4</v>
      </c>
      <c r="R62" s="16">
        <v>29.05</v>
      </c>
      <c r="S62" s="13">
        <v>60</v>
      </c>
      <c r="T62" s="98" t="s">
        <v>33</v>
      </c>
      <c r="U62" s="23" t="e" vm="44">
        <v>#VALUE!</v>
      </c>
      <c r="V62" s="53">
        <v>30</v>
      </c>
      <c r="W62" s="79"/>
      <c r="X62" s="79"/>
    </row>
    <row r="63" spans="1:24" ht="16.2" thickBot="1" x14ac:dyDescent="0.4">
      <c r="A63" s="79"/>
      <c r="B63" s="79"/>
      <c r="C63" s="79"/>
      <c r="D63" s="79"/>
      <c r="E63" s="79"/>
      <c r="F63" s="79"/>
      <c r="G63" s="79"/>
      <c r="H63" s="54">
        <f t="shared" ca="1" si="36"/>
        <v>0.11243882005379427</v>
      </c>
      <c r="I63" s="91">
        <f t="shared" ca="1" si="37"/>
        <v>-161.07008999999994</v>
      </c>
      <c r="J63" s="69" cm="1">
        <f t="array" aca="1" ref="J63" ca="1">_FV(U63,"Change (%)",TRUE)</f>
        <v>-1.7408999999999997E-2</v>
      </c>
      <c r="K63" s="87">
        <f t="shared" ref="K63" ca="1" si="40">J63*Q63*$M$2</f>
        <v>-27.138888533189998</v>
      </c>
      <c r="L63" s="70" cm="1">
        <f t="array" aca="1" ref="L63" ca="1">_FV(U63,"Price")</f>
        <v>252.29</v>
      </c>
      <c r="M63" s="71">
        <f t="shared" si="38"/>
        <v>6.1480792868704162E-3</v>
      </c>
      <c r="N63" s="72"/>
      <c r="O63" s="72" t="s">
        <v>59</v>
      </c>
      <c r="P63" s="91">
        <v>1719.97</v>
      </c>
      <c r="Q63" s="73">
        <f t="shared" ca="1" si="39"/>
        <v>504.58</v>
      </c>
      <c r="R63" s="73">
        <v>226.79</v>
      </c>
      <c r="S63" s="72">
        <v>2</v>
      </c>
      <c r="T63" s="99" t="s">
        <v>34</v>
      </c>
      <c r="U63" s="64" t="e" vm="45">
        <v>#VALUE!</v>
      </c>
      <c r="V63" s="61">
        <v>31</v>
      </c>
      <c r="W63" s="79"/>
      <c r="X63" s="79"/>
    </row>
    <row r="65" spans="10:16" x14ac:dyDescent="0.25">
      <c r="J65" s="92"/>
    </row>
    <row r="67" spans="10:16" x14ac:dyDescent="0.25">
      <c r="P67" s="93"/>
    </row>
  </sheetData>
  <mergeCells count="23">
    <mergeCell ref="H59:V59"/>
    <mergeCell ref="H48:V48"/>
    <mergeCell ref="H33:V33"/>
    <mergeCell ref="H22:V22"/>
    <mergeCell ref="H31:V32"/>
    <mergeCell ref="H46:V47"/>
    <mergeCell ref="H57:V58"/>
    <mergeCell ref="L1:M1"/>
    <mergeCell ref="U6:V6"/>
    <mergeCell ref="H20:V21"/>
    <mergeCell ref="H13:V14"/>
    <mergeCell ref="H15:V15"/>
    <mergeCell ref="H8:V8"/>
    <mergeCell ref="T1:V1"/>
    <mergeCell ref="U2:V2"/>
    <mergeCell ref="U5:V5"/>
    <mergeCell ref="U4:V4"/>
    <mergeCell ref="Q1:R1"/>
    <mergeCell ref="L4:M4"/>
    <mergeCell ref="L5:M6"/>
    <mergeCell ref="S5:S6"/>
    <mergeCell ref="J5:K6"/>
    <mergeCell ref="J4:K4"/>
  </mergeCells>
  <conditionalFormatting sqref="B4:B16">
    <cfRule type="cellIs" dxfId="7" priority="3" operator="equal">
      <formula>"BUY"</formula>
    </cfRule>
    <cfRule type="cellIs" dxfId="6" priority="4" operator="equal">
      <formula>"HOLD"</formula>
    </cfRule>
  </conditionalFormatting>
  <conditionalFormatting sqref="H10:K12 H17:K19 H24:K30 H61:K63 H35:K45">
    <cfRule type="cellIs" dxfId="5" priority="15" operator="lessThan">
      <formula>0</formula>
    </cfRule>
    <cfRule type="cellIs" dxfId="4" priority="16" operator="greaterThan">
      <formula>0</formula>
    </cfRule>
  </conditionalFormatting>
  <conditionalFormatting sqref="H50:K56">
    <cfRule type="cellIs" dxfId="3" priority="1" operator="lessThan">
      <formula>0</formula>
    </cfRule>
    <cfRule type="cellIs" dxfId="2" priority="2" operator="greaterThan">
      <formula>0</formula>
    </cfRule>
  </conditionalFormatting>
  <conditionalFormatting sqref="S5:T5 T6 S7:T7">
    <cfRule type="cellIs" dxfId="1" priority="5" operator="lessThan">
      <formula>0</formula>
    </cfRule>
    <cfRule type="cellIs" dxfId="0" priority="6" operator="greaterThan">
      <formula>0</formula>
    </cfRule>
  </conditionalFormatting>
  <dataValidations count="1">
    <dataValidation type="list" allowBlank="1" showInputMessage="1" showErrorMessage="1" sqref="O10:O12 O17:O19 O24:O30 O61:O63 O50:O56 O35:O45" xr:uid="{391B6171-5935-44BC-B1CE-0C32ACF55622}">
      <formula1>"נשק,שבבים,פיננסים,קריפטו,מדדים,תרופות,בריאות,טכנולוגיה,טכנולוגיות קוונטיות,דיבידנדים,קמעונאות,שירותי תקשורת,חומרה,תשתיות מידע,תחבורה"</formula1>
    </dataValidation>
  </dataValidations>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גליונות עבודה</vt:lpstr>
      </vt:variant>
      <vt:variant>
        <vt:i4>1</vt:i4>
      </vt:variant>
    </vt:vector>
  </HeadingPairs>
  <TitlesOfParts>
    <vt:vector size="1" baseType="lpstr">
      <vt:lpstr>גיליון1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Lior Hadad</dc:creator>
  <cp:lastModifiedBy>Lior Tsafrir</cp:lastModifiedBy>
  <dcterms:created xsi:type="dcterms:W3CDTF">2025-08-01T19:22:09Z</dcterms:created>
  <dcterms:modified xsi:type="dcterms:W3CDTF">2026-03-06T15:30:56Z</dcterms:modified>
</cp:coreProperties>
</file>