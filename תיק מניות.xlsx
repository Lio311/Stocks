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mailtauacil-my.sharepoint.com/personal/liortsafrir_mail_tau_ac_il/Documents/Desktop/"/>
    </mc:Choice>
  </mc:AlternateContent>
  <xr:revisionPtr revIDLastSave="975" documentId="13_ncr:1_{9F5F5684-FACD-45AB-A89B-D14F63A74975}" xr6:coauthVersionLast="47" xr6:coauthVersionMax="47" xr10:uidLastSave="{1DE226BF-7415-4564-9296-11736087DCB7}"/>
  <bookViews>
    <workbookView xWindow="-108" yWindow="-108" windowWidth="23256" windowHeight="12456" xr2:uid="{4BA4607F-9C70-44F5-8607-E92B471B476B}"/>
  </bookViews>
  <sheets>
    <sheet name="גיליון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0" i="1" l="1"/>
  <c r="M61" i="1"/>
  <c r="M59" i="1"/>
  <c r="M50" i="1"/>
  <c r="M51" i="1"/>
  <c r="M52" i="1"/>
  <c r="M53" i="1"/>
  <c r="M54" i="1"/>
  <c r="M49" i="1"/>
  <c r="M18" i="1"/>
  <c r="M19" i="1"/>
  <c r="M17" i="1"/>
  <c r="M12" i="1"/>
  <c r="M11" i="1"/>
  <c r="M10" i="1"/>
  <c r="M24" i="1"/>
  <c r="M25" i="1"/>
  <c r="M26" i="1"/>
  <c r="M27" i="1"/>
  <c r="M28" i="1"/>
  <c r="M29" i="1"/>
  <c r="M30" i="1"/>
  <c r="M35" i="1"/>
  <c r="M36" i="1"/>
  <c r="M38" i="1"/>
  <c r="M39" i="1"/>
  <c r="M40" i="1"/>
  <c r="M41" i="1"/>
  <c r="M42" i="1"/>
  <c r="M43" i="1"/>
  <c r="M44" i="1"/>
  <c r="M37" i="1"/>
  <c r="Q5" i="1"/>
  <c r="L53" i="1" a="1"/>
  <c r="L53" i="1" s="1"/>
  <c r="J53" i="1" a="1"/>
  <c r="J53" i="1" s="1"/>
  <c r="J60" i="1" a="1"/>
  <c r="J60" i="1" s="1"/>
  <c r="U5" i="1"/>
  <c r="R5" i="1" s="1"/>
  <c r="L42" i="1" a="1"/>
  <c r="L42" i="1" s="1"/>
  <c r="J42" i="1" a="1"/>
  <c r="J42" i="1" s="1"/>
  <c r="J37" i="1" a="1"/>
  <c r="J37" i="1" s="1"/>
  <c r="L11" i="1" a="1"/>
  <c r="L11" i="1" s="1"/>
  <c r="R10" i="1"/>
  <c r="R11" i="1"/>
  <c r="D4" i="1" a="1"/>
  <c r="D4" i="1" s="1"/>
  <c r="D5" i="1" a="1"/>
  <c r="D5" i="1" s="1"/>
  <c r="E4" i="1" a="1"/>
  <c r="E4" i="1" s="1"/>
  <c r="B4" i="1" s="1"/>
  <c r="E5" i="1" a="1"/>
  <c r="E5" i="1" s="1"/>
  <c r="B5" i="1" s="1"/>
  <c r="D14" i="1" a="1"/>
  <c r="D14" i="1" s="1"/>
  <c r="E14" i="1" a="1"/>
  <c r="E14" i="1" s="1"/>
  <c r="B14" i="1" s="1"/>
  <c r="L38" i="1" a="1"/>
  <c r="L38" i="1" s="1"/>
  <c r="L37" i="1" a="1"/>
  <c r="L37" i="1" s="1"/>
  <c r="L36" i="1" a="1"/>
  <c r="L36" i="1" s="1"/>
  <c r="L35" i="1" a="1"/>
  <c r="L35" i="1" s="1"/>
  <c r="L30" i="1" a="1"/>
  <c r="L30" i="1" s="1"/>
  <c r="L29" i="1" a="1"/>
  <c r="L29" i="1" s="1"/>
  <c r="H29" i="1" s="1"/>
  <c r="L28" i="1" a="1"/>
  <c r="L28" i="1" s="1"/>
  <c r="L27" i="1" a="1"/>
  <c r="L27" i="1" s="1"/>
  <c r="H27" i="1" s="1"/>
  <c r="L26" i="1" a="1"/>
  <c r="L26" i="1" s="1"/>
  <c r="L25" i="1" a="1"/>
  <c r="L25" i="1" s="1"/>
  <c r="L24" i="1" a="1"/>
  <c r="L24" i="1" s="1"/>
  <c r="L19" i="1" a="1"/>
  <c r="L19" i="1" s="1"/>
  <c r="H19" i="1" s="1"/>
  <c r="L18" i="1" a="1"/>
  <c r="L18" i="1" s="1"/>
  <c r="L17" i="1" a="1"/>
  <c r="L17" i="1" s="1"/>
  <c r="Q17" i="1" s="1"/>
  <c r="L12" i="1" a="1"/>
  <c r="L12" i="1" s="1"/>
  <c r="L39" i="1" a="1"/>
  <c r="L39" i="1" s="1"/>
  <c r="L40" i="1" a="1"/>
  <c r="L40" i="1" s="1"/>
  <c r="L41" i="1" a="1"/>
  <c r="L41" i="1" s="1"/>
  <c r="H41" i="1" s="1"/>
  <c r="L43" i="1" a="1"/>
  <c r="L43" i="1" s="1"/>
  <c r="L44" i="1" a="1"/>
  <c r="L44" i="1" s="1"/>
  <c r="H44" i="1" s="1"/>
  <c r="L54" i="1" a="1"/>
  <c r="L54" i="1" s="1"/>
  <c r="J54" i="1" a="1"/>
  <c r="J54" i="1" s="1"/>
  <c r="J44" i="1" a="1"/>
  <c r="J44" i="1" s="1"/>
  <c r="J43" i="1" a="1"/>
  <c r="J43" i="1" s="1"/>
  <c r="J19" i="1" a="1"/>
  <c r="J19" i="1" s="1"/>
  <c r="D6" i="1" a="1"/>
  <c r="D6" i="1" s="1"/>
  <c r="E6" i="1" a="1"/>
  <c r="E6" i="1" s="1"/>
  <c r="B6" i="1" s="1"/>
  <c r="J38" i="1" a="1"/>
  <c r="J38" i="1" s="1"/>
  <c r="J40" i="1" a="1"/>
  <c r="J40" i="1" s="1"/>
  <c r="J41" i="1" a="1"/>
  <c r="J41" i="1" s="1"/>
  <c r="L61" i="1" a="1"/>
  <c r="L61" i="1" s="1"/>
  <c r="D16" i="1" a="1"/>
  <c r="D16" i="1" s="1"/>
  <c r="E16" i="1" a="1"/>
  <c r="E16" i="1" s="1"/>
  <c r="B16" i="1" s="1"/>
  <c r="D15" i="1" a="1"/>
  <c r="D15" i="1" s="1"/>
  <c r="E15" i="1" a="1"/>
  <c r="E15" i="1" s="1"/>
  <c r="B15" i="1" s="1"/>
  <c r="D7" i="1" a="1"/>
  <c r="D7" i="1" s="1"/>
  <c r="E7" i="1" a="1"/>
  <c r="E7" i="1" s="1"/>
  <c r="B7" i="1" s="1"/>
  <c r="D11" i="1" a="1"/>
  <c r="D11" i="1" s="1"/>
  <c r="E11" i="1" a="1"/>
  <c r="E11" i="1" s="1"/>
  <c r="B11" i="1" s="1"/>
  <c r="D12" i="1" a="1"/>
  <c r="D12" i="1" s="1"/>
  <c r="E12" i="1" a="1"/>
  <c r="E12" i="1" s="1"/>
  <c r="B12" i="1" s="1"/>
  <c r="D13" i="1" a="1"/>
  <c r="D13" i="1" s="1"/>
  <c r="E13" i="1" a="1"/>
  <c r="E13" i="1" s="1"/>
  <c r="B13" i="1" s="1"/>
  <c r="D10" i="1" a="1"/>
  <c r="D10" i="1" s="1"/>
  <c r="E10" i="1" a="1"/>
  <c r="E10" i="1" s="1"/>
  <c r="B10" i="1" s="1"/>
  <c r="J11" i="1" a="1"/>
  <c r="J11" i="1" s="1"/>
  <c r="J10" i="1" a="1"/>
  <c r="J10" i="1" s="1"/>
  <c r="L2" i="1" a="1"/>
  <c r="L2" i="1" s="1"/>
  <c r="M2" i="1" a="1"/>
  <c r="M2" i="1" s="1"/>
  <c r="Q6" i="1" s="1"/>
  <c r="Q2" i="1" a="1"/>
  <c r="Q2" i="1" s="1"/>
  <c r="R2" i="1" a="1"/>
  <c r="R2" i="1" s="1"/>
  <c r="E9" i="1" a="1"/>
  <c r="E9" i="1" s="1"/>
  <c r="B9" i="1" s="1"/>
  <c r="D9" i="1" a="1"/>
  <c r="D9" i="1" s="1"/>
  <c r="E8" i="1" a="1"/>
  <c r="E8" i="1" s="1"/>
  <c r="B8" i="1" s="1"/>
  <c r="D8" i="1" a="1"/>
  <c r="D8" i="1" s="1"/>
  <c r="J61" i="1" a="1"/>
  <c r="J61" i="1" s="1"/>
  <c r="J50" i="1" a="1"/>
  <c r="J50" i="1" s="1"/>
  <c r="L50" i="1" a="1"/>
  <c r="L50" i="1" s="1"/>
  <c r="J51" i="1" a="1"/>
  <c r="J51" i="1" s="1"/>
  <c r="L51" i="1" a="1"/>
  <c r="L51" i="1" s="1"/>
  <c r="Q51" i="1" s="1"/>
  <c r="J52" i="1" a="1"/>
  <c r="J52" i="1" s="1"/>
  <c r="L52" i="1" a="1"/>
  <c r="L52" i="1" s="1"/>
  <c r="J59" i="1" a="1"/>
  <c r="J59" i="1" s="1"/>
  <c r="L59" i="1" a="1"/>
  <c r="L59" i="1" s="1"/>
  <c r="H59" i="1" s="1"/>
  <c r="L60" i="1" a="1"/>
  <c r="L60" i="1" s="1"/>
  <c r="J49" i="1" a="1"/>
  <c r="J49" i="1" s="1"/>
  <c r="L49" i="1" a="1"/>
  <c r="L49" i="1" s="1"/>
  <c r="H49" i="1" s="1"/>
  <c r="J35" i="1" a="1"/>
  <c r="J35" i="1" s="1"/>
  <c r="J18" i="1" a="1"/>
  <c r="J18" i="1" s="1"/>
  <c r="J17" i="1" a="1"/>
  <c r="J17" i="1" s="1"/>
  <c r="J12" i="1" a="1"/>
  <c r="J12" i="1" s="1"/>
  <c r="J28" i="1" a="1"/>
  <c r="J28" i="1" s="1"/>
  <c r="J30" i="1" a="1"/>
  <c r="J30" i="1" s="1"/>
  <c r="J26" i="1" a="1"/>
  <c r="J26" i="1" s="1"/>
  <c r="J27" i="1" a="1"/>
  <c r="J27" i="1" s="1"/>
  <c r="J29" i="1" a="1"/>
  <c r="J29" i="1" s="1"/>
  <c r="J36" i="1" a="1"/>
  <c r="J36" i="1" s="1"/>
  <c r="J39" i="1" a="1"/>
  <c r="J39" i="1" s="1"/>
  <c r="J25" i="1" a="1"/>
  <c r="J25" i="1" s="1"/>
  <c r="J24" i="1" a="1"/>
  <c r="J24" i="1" s="1"/>
  <c r="I39" i="1" l="1"/>
  <c r="Q53" i="1"/>
  <c r="H53" i="1"/>
  <c r="I53" i="1"/>
  <c r="Q41" i="1"/>
  <c r="K41" i="1" s="1"/>
  <c r="H11" i="1"/>
  <c r="I11" i="1"/>
  <c r="Q11" i="1"/>
  <c r="H25" i="1"/>
  <c r="Q25" i="1"/>
  <c r="K25" i="1" s="1"/>
  <c r="H35" i="1"/>
  <c r="Q35" i="1"/>
  <c r="K35" i="1" s="1"/>
  <c r="H39" i="1"/>
  <c r="Q39" i="1"/>
  <c r="K39" i="1" s="1"/>
  <c r="Q27" i="1"/>
  <c r="K27" i="1" s="1"/>
  <c r="I36" i="1"/>
  <c r="Q36" i="1"/>
  <c r="H36" i="1"/>
  <c r="Q18" i="1"/>
  <c r="I18" i="1"/>
  <c r="H18" i="1"/>
  <c r="I37" i="1"/>
  <c r="H37" i="1"/>
  <c r="Q37" i="1"/>
  <c r="Q52" i="1"/>
  <c r="K52" i="1" s="1"/>
  <c r="I52" i="1"/>
  <c r="H52" i="1"/>
  <c r="Q28" i="1"/>
  <c r="K28" i="1" s="1"/>
  <c r="I28" i="1"/>
  <c r="H28" i="1"/>
  <c r="I38" i="1"/>
  <c r="Q38" i="1"/>
  <c r="K38" i="1" s="1"/>
  <c r="H38" i="1"/>
  <c r="I26" i="1"/>
  <c r="Q26" i="1"/>
  <c r="K26" i="1" s="1"/>
  <c r="H26" i="1"/>
  <c r="I49" i="1"/>
  <c r="I41" i="1"/>
  <c r="I27" i="1"/>
  <c r="U6" i="1"/>
  <c r="I17" i="1"/>
  <c r="I51" i="1"/>
  <c r="I29" i="1"/>
  <c r="L10" i="1" a="1"/>
  <c r="L10" i="1" s="1"/>
  <c r="R6" i="1"/>
  <c r="I25" i="1"/>
  <c r="Q40" i="1"/>
  <c r="H40" i="1"/>
  <c r="I40" i="1"/>
  <c r="I42" i="1"/>
  <c r="Q42" i="1"/>
  <c r="K42" i="1" s="1"/>
  <c r="H42" i="1"/>
  <c r="K51" i="1"/>
  <c r="I24" i="1"/>
  <c r="H24" i="1"/>
  <c r="Q24" i="1"/>
  <c r="K24" i="1" s="1"/>
  <c r="K17" i="1"/>
  <c r="I60" i="1"/>
  <c r="Q60" i="1"/>
  <c r="K60" i="1" s="1"/>
  <c r="H60" i="1"/>
  <c r="H61" i="1"/>
  <c r="I61" i="1"/>
  <c r="Q61" i="1"/>
  <c r="Q54" i="1"/>
  <c r="K54" i="1" s="1"/>
  <c r="H54" i="1"/>
  <c r="I54" i="1"/>
  <c r="H30" i="1"/>
  <c r="I30" i="1"/>
  <c r="Q30" i="1"/>
  <c r="H50" i="1"/>
  <c r="I50" i="1"/>
  <c r="Q50" i="1"/>
  <c r="Q43" i="1"/>
  <c r="I43" i="1"/>
  <c r="H43" i="1"/>
  <c r="Q12" i="1"/>
  <c r="H12" i="1"/>
  <c r="I12" i="1"/>
  <c r="Q44" i="1"/>
  <c r="Q29" i="1"/>
  <c r="K29" i="1" s="1"/>
  <c r="H17" i="1"/>
  <c r="H51" i="1"/>
  <c r="I19" i="1"/>
  <c r="I44" i="1"/>
  <c r="I59" i="1"/>
  <c r="Q19" i="1"/>
  <c r="Q59" i="1"/>
  <c r="K59" i="1" s="1"/>
  <c r="I35" i="1"/>
  <c r="Q49" i="1"/>
  <c r="C27" i="1" l="1"/>
  <c r="K11" i="1"/>
  <c r="K53" i="1"/>
  <c r="C33" i="1"/>
  <c r="K30" i="1"/>
  <c r="C25" i="1"/>
  <c r="K50" i="1"/>
  <c r="K19" i="1"/>
  <c r="C32" i="1"/>
  <c r="K12" i="1"/>
  <c r="C31" i="1"/>
  <c r="K37" i="1"/>
  <c r="K61" i="1"/>
  <c r="K43" i="1"/>
  <c r="K40" i="1"/>
  <c r="C24" i="1"/>
  <c r="K36" i="1"/>
  <c r="H10" i="1"/>
  <c r="I10" i="1"/>
  <c r="T5" i="1" s="1"/>
  <c r="L5" i="1" s="1"/>
  <c r="Q10" i="1"/>
  <c r="C30" i="1"/>
  <c r="C35" i="1"/>
  <c r="C28" i="1"/>
  <c r="K44" i="1"/>
  <c r="K49" i="1"/>
  <c r="C26" i="1"/>
  <c r="C34" i="1"/>
  <c r="K18" i="1"/>
  <c r="C22" i="1"/>
  <c r="C29" i="1" l="1"/>
  <c r="C23" i="1"/>
  <c r="S5" i="1"/>
  <c r="T6" i="1"/>
  <c r="C21" i="1"/>
  <c r="K10" i="1"/>
  <c r="J5" i="1" s="1"/>
  <c r="C36"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4">
    <bk>
      <extLst>
        <ext uri="{3e2802c4-a4d2-4d8b-9148-e3be6c30e623}">
          <xlrd:rvb i="2"/>
        </ext>
      </extLst>
    </bk>
    <bk>
      <extLst>
        <ext uri="{3e2802c4-a4d2-4d8b-9148-e3be6c30e623}">
          <xlrd:rvb i="4"/>
        </ext>
      </extLst>
    </bk>
    <bk>
      <extLst>
        <ext uri="{3e2802c4-a4d2-4d8b-9148-e3be6c30e623}">
          <xlrd:rvb i="7"/>
        </ext>
      </extLst>
    </bk>
    <bk>
      <extLst>
        <ext uri="{3e2802c4-a4d2-4d8b-9148-e3be6c30e623}">
          <xlrd:rvb i="10"/>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7"/>
        </ext>
      </extLst>
    </bk>
    <bk>
      <extLst>
        <ext uri="{3e2802c4-a4d2-4d8b-9148-e3be6c30e623}">
          <xlrd:rvb i="50"/>
        </ext>
      </extLst>
    </bk>
    <bk>
      <extLst>
        <ext uri="{3e2802c4-a4d2-4d8b-9148-e3be6c30e623}">
          <xlrd:rvb i="52"/>
        </ext>
      </extLst>
    </bk>
    <bk>
      <extLst>
        <ext uri="{3e2802c4-a4d2-4d8b-9148-e3be6c30e623}">
          <xlrd:rvb i="54"/>
        </ext>
      </extLst>
    </bk>
    <bk>
      <extLst>
        <ext uri="{3e2802c4-a4d2-4d8b-9148-e3be6c30e623}">
          <xlrd:rvb i="56"/>
        </ext>
      </extLst>
    </bk>
    <bk>
      <extLst>
        <ext uri="{3e2802c4-a4d2-4d8b-9148-e3be6c30e623}">
          <xlrd:rvb i="59"/>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futureMetadata>
  <cellMetadata count="1">
    <bk>
      <rc t="1" v="0"/>
    </bk>
  </cellMetadata>
  <valueMetadata count="44">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valueMetadata>
</metadata>
</file>

<file path=xl/sharedStrings.xml><?xml version="1.0" encoding="utf-8"?>
<sst xmlns="http://schemas.openxmlformats.org/spreadsheetml/2006/main" count="194" uniqueCount="86">
  <si>
    <t>טיקר</t>
  </si>
  <si>
    <t>כמות מניות</t>
  </si>
  <si>
    <t>מחיר עלות</t>
  </si>
  <si>
    <t>סה"כ אחזקה</t>
  </si>
  <si>
    <t>אחוז מסה"כ התיק</t>
  </si>
  <si>
    <t>#</t>
  </si>
  <si>
    <t>מחיר זמן אמת</t>
  </si>
  <si>
    <t>שינוי יומי</t>
  </si>
  <si>
    <t>MSFT</t>
  </si>
  <si>
    <t>AMZN</t>
  </si>
  <si>
    <t>TSLA</t>
  </si>
  <si>
    <t>NVDA</t>
  </si>
  <si>
    <t>GOOGL</t>
  </si>
  <si>
    <t>META</t>
  </si>
  <si>
    <t>SOFI</t>
  </si>
  <si>
    <t>SHOP</t>
  </si>
  <si>
    <t>ASML</t>
  </si>
  <si>
    <t>UBER</t>
  </si>
  <si>
    <t>AMD</t>
  </si>
  <si>
    <t>TSM</t>
  </si>
  <si>
    <t>QQQ</t>
  </si>
  <si>
    <t>ETHA</t>
  </si>
  <si>
    <t>IBIT</t>
  </si>
  <si>
    <t>NVDL</t>
  </si>
  <si>
    <t>DELL</t>
  </si>
  <si>
    <t>MNDY</t>
  </si>
  <si>
    <t>UNH</t>
  </si>
  <si>
    <t>PATH</t>
  </si>
  <si>
    <t>MRNA</t>
  </si>
  <si>
    <t>PFE</t>
  </si>
  <si>
    <t>הימורים</t>
  </si>
  <si>
    <t>לא מרוצה</t>
  </si>
  <si>
    <t>LMT</t>
  </si>
  <si>
    <t>SCHD</t>
  </si>
  <si>
    <t>IWM</t>
  </si>
  <si>
    <t>PYPL</t>
  </si>
  <si>
    <t>HOOD</t>
  </si>
  <si>
    <t>מדד הפחד</t>
  </si>
  <si>
    <t>שער הדולר</t>
  </si>
  <si>
    <t>תיק מסחר - ליאור</t>
  </si>
  <si>
    <t>השקעה</t>
  </si>
  <si>
    <t>מזומן בתיק</t>
  </si>
  <si>
    <t>כסף מושקע</t>
  </si>
  <si>
    <t>רווח נוכחי</t>
  </si>
  <si>
    <t>ABNB</t>
  </si>
  <si>
    <t>PLTR</t>
  </si>
  <si>
    <t>CRM</t>
  </si>
  <si>
    <t>מחיר יעד</t>
  </si>
  <si>
    <t>תשואה באחוזים</t>
  </si>
  <si>
    <t>B/H/S</t>
  </si>
  <si>
    <t>B/H</t>
  </si>
  <si>
    <t>GLXY</t>
  </si>
  <si>
    <t>SOLZ</t>
  </si>
  <si>
    <t>CRWV</t>
  </si>
  <si>
    <t>PGY</t>
  </si>
  <si>
    <t>LAES</t>
  </si>
  <si>
    <t>חברות גדולות</t>
  </si>
  <si>
    <t>שבע הגדולות</t>
  </si>
  <si>
    <t>קריפטו</t>
  </si>
  <si>
    <t>מדדים</t>
  </si>
  <si>
    <t>סה"כ ערך תיק</t>
  </si>
  <si>
    <t>IREN</t>
  </si>
  <si>
    <t>NBIS</t>
  </si>
  <si>
    <t>עלות FIFO</t>
  </si>
  <si>
    <t>שינוי יומי(%)</t>
  </si>
  <si>
    <t>שינוי מצטבר(%)</t>
  </si>
  <si>
    <t>שינוי מצטבר</t>
  </si>
  <si>
    <t>WKEY</t>
  </si>
  <si>
    <t>הפרש מימושים</t>
  </si>
  <si>
    <t>סקטור</t>
  </si>
  <si>
    <t>קמעונאות</t>
  </si>
  <si>
    <t>טכנולוגיה</t>
  </si>
  <si>
    <t>שירותי תקשורת</t>
  </si>
  <si>
    <t>פיננסים</t>
  </si>
  <si>
    <t>שבבים</t>
  </si>
  <si>
    <t>חומרה</t>
  </si>
  <si>
    <t>בריאות</t>
  </si>
  <si>
    <t>תרופות</t>
  </si>
  <si>
    <t>טכנולוגיות קוונטיות</t>
  </si>
  <si>
    <t>נשק</t>
  </si>
  <si>
    <t>דיבידנדים</t>
  </si>
  <si>
    <t>תחבורה</t>
  </si>
  <si>
    <t>תשתיות מידע</t>
  </si>
  <si>
    <t>אחוז מהתיק</t>
  </si>
  <si>
    <t>סה"כ</t>
  </si>
  <si>
    <t>AAPL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</si>
</sst>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8" formatCode="&quot;$&quot;#,##0.00_);[Red]\(&quot;$&quot;#,##0.00\)"/>
    <numFmt numFmtId="43" formatCode="_(* #,##0.00_);_(* \(#,##0.00\);_(* &quot;-&quot;??_);_(@_)"/>
    <numFmt numFmtId="164" formatCode="_ &quot;₪&quot;\ * #,##0_ ;_ &quot;₪&quot;\ * \-#,##0_ ;_ &quot;₪&quot;\ * &quot;-&quot;_ ;_ @_ "/>
    <numFmt numFmtId="165" formatCode="_ &quot;₪&quot;\ * #,##0.00_ ;_ &quot;₪&quot;\ * \-#,##0.00_ ;_ &quot;₪&quot;\ * &quot;-&quot;??_ ;_ @_ "/>
    <numFmt numFmtId="166" formatCode="_([$$-409]* #,##0.00_);_([$$-409]* \(#,##0.00\);_([$$-409]* &quot;-&quot;??_);_(@_)"/>
    <numFmt numFmtId="167" formatCode="[$$-409]#,##0.00"/>
    <numFmt numFmtId="168" formatCode="&quot;₪&quot;\ #,##0.00"/>
    <numFmt numFmtId="169" formatCode="_-* #,##0.00\ [$CHF-100C]_-;\-* #,##0.00\ [$CHF-100C]_-;_-* &quot;-&quot;??\ [$CHF-100C]_-;_-@_-"/>
    <numFmt numFmtId="170" formatCode="_ [$₪-40D]\ * #,##0.00_ ;_ [$₪-40D]\ * \-#,##0.00_ ;_ [$₪-40D]\ * &quot;-&quot;??_ ;_ @_ "/>
    <numFmt numFmtId="171" formatCode="_-[$$-1009]* #,##0.00_-;\-[$$-1009]* #,##0.00_-;_-[$$-1009]* &quot;-&quot;??_-;_-@_-"/>
  </numFmts>
  <fonts count="8" x14ac:knownFonts="1">
    <font>
      <sz val="11"/>
      <color theme="1"/>
      <name val="Aptos Narrow"/>
      <family val="2"/>
      <charset val="177"/>
      <scheme val="minor"/>
    </font>
    <font>
      <sz val="11"/>
      <color theme="1"/>
      <name val="Open Sans Hebrew"/>
    </font>
    <font>
      <sz val="11"/>
      <color theme="0"/>
      <name val="Open Sans Hebrew"/>
    </font>
    <font>
      <b/>
      <sz val="11"/>
      <color theme="0"/>
      <name val="Open Sans Hebrew"/>
    </font>
    <font>
      <b/>
      <sz val="11"/>
      <color theme="1"/>
      <name val="Open Sans Hebrew"/>
    </font>
    <font>
      <b/>
      <sz val="18"/>
      <color theme="1"/>
      <name val="Open Sans Hebrew"/>
    </font>
    <font>
      <sz val="11"/>
      <name val="Open Sans Hebrew"/>
    </font>
    <font>
      <b/>
      <sz val="10"/>
      <color theme="1"/>
      <name val="Open Sans Hebrew"/>
    </font>
  </fonts>
  <fills count="9">
    <fill>
      <patternFill patternType="none"/>
    </fill>
    <fill>
      <patternFill patternType="gray125"/>
    </fill>
    <fill>
      <patternFill patternType="solid">
        <fgColor theme="1"/>
        <bgColor indexed="64"/>
      </patternFill>
    </fill>
    <fill>
      <patternFill patternType="solid">
        <fgColor rgb="FF92D050"/>
        <bgColor indexed="64"/>
      </patternFill>
    </fill>
    <fill>
      <patternFill patternType="solid">
        <fgColor rgb="FFFFC000"/>
        <bgColor indexed="64"/>
      </patternFill>
    </fill>
    <fill>
      <patternFill patternType="solid">
        <fgColor theme="0"/>
        <bgColor indexed="64"/>
      </patternFill>
    </fill>
    <fill>
      <patternFill patternType="solid">
        <fgColor rgb="FF00B0F0"/>
        <bgColor indexed="64"/>
      </patternFill>
    </fill>
    <fill>
      <patternFill patternType="solid">
        <fgColor theme="5" tint="0.39997558519241921"/>
        <bgColor indexed="64"/>
      </patternFill>
    </fill>
    <fill>
      <patternFill patternType="solid">
        <fgColor theme="8" tint="0.59999389629810485"/>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1">
    <xf numFmtId="0" fontId="0" fillId="0" borderId="0"/>
  </cellStyleXfs>
  <cellXfs count="148">
    <xf numFmtId="0" fontId="0" fillId="0" borderId="0" xfId="0"/>
    <xf numFmtId="0" fontId="2" fillId="2" borderId="1" xfId="0" applyFont="1" applyFill="1" applyBorder="1" applyAlignment="1">
      <alignment horizontal="center"/>
    </xf>
    <xf numFmtId="10" fontId="1" fillId="3" borderId="1" xfId="0" applyNumberFormat="1" applyFont="1" applyFill="1" applyBorder="1" applyAlignment="1">
      <alignment horizontal="center"/>
    </xf>
    <xf numFmtId="0" fontId="1" fillId="3" borderId="1" xfId="0" applyFont="1" applyFill="1" applyBorder="1" applyAlignment="1">
      <alignment horizontal="center"/>
    </xf>
    <xf numFmtId="10" fontId="1" fillId="4" borderId="1" xfId="0" applyNumberFormat="1" applyFont="1" applyFill="1" applyBorder="1" applyAlignment="1">
      <alignment horizontal="center"/>
    </xf>
    <xf numFmtId="166" fontId="1" fillId="4" borderId="1" xfId="0" applyNumberFormat="1" applyFont="1" applyFill="1" applyBorder="1" applyAlignment="1">
      <alignment horizontal="center"/>
    </xf>
    <xf numFmtId="0" fontId="1" fillId="4" borderId="1" xfId="0" applyFont="1" applyFill="1" applyBorder="1" applyAlignment="1">
      <alignment horizontal="center"/>
    </xf>
    <xf numFmtId="10" fontId="1" fillId="6" borderId="1" xfId="0" applyNumberFormat="1" applyFont="1" applyFill="1" applyBorder="1" applyAlignment="1">
      <alignment horizontal="center"/>
    </xf>
    <xf numFmtId="9" fontId="1" fillId="3" borderId="1" xfId="0" applyNumberFormat="1" applyFont="1" applyFill="1" applyBorder="1" applyAlignment="1">
      <alignment horizontal="center"/>
    </xf>
    <xf numFmtId="9" fontId="1" fillId="4" borderId="1" xfId="0" applyNumberFormat="1" applyFont="1" applyFill="1" applyBorder="1" applyAlignment="1">
      <alignment horizontal="center"/>
    </xf>
    <xf numFmtId="10" fontId="1" fillId="7" borderId="1" xfId="0" applyNumberFormat="1" applyFont="1" applyFill="1" applyBorder="1" applyAlignment="1">
      <alignment horizontal="center"/>
    </xf>
    <xf numFmtId="166" fontId="1" fillId="7" borderId="1" xfId="0" applyNumberFormat="1" applyFont="1" applyFill="1" applyBorder="1" applyAlignment="1">
      <alignment horizontal="center"/>
    </xf>
    <xf numFmtId="9" fontId="1" fillId="7" borderId="1" xfId="0" applyNumberFormat="1" applyFont="1" applyFill="1" applyBorder="1" applyAlignment="1">
      <alignment horizontal="center"/>
    </xf>
    <xf numFmtId="0" fontId="1" fillId="7" borderId="1" xfId="0" applyFont="1" applyFill="1" applyBorder="1" applyAlignment="1">
      <alignment horizontal="center"/>
    </xf>
    <xf numFmtId="167" fontId="1" fillId="3" borderId="1" xfId="0" applyNumberFormat="1" applyFont="1" applyFill="1" applyBorder="1" applyAlignment="1">
      <alignment horizontal="center"/>
    </xf>
    <xf numFmtId="167" fontId="1" fillId="4" borderId="1" xfId="0" applyNumberFormat="1" applyFont="1" applyFill="1" applyBorder="1" applyAlignment="1">
      <alignment horizontal="center"/>
    </xf>
    <xf numFmtId="167" fontId="1" fillId="7" borderId="1" xfId="0" applyNumberFormat="1" applyFont="1" applyFill="1" applyBorder="1" applyAlignment="1">
      <alignment horizontal="center"/>
    </xf>
    <xf numFmtId="0" fontId="1" fillId="2" borderId="1" xfId="0" applyFont="1" applyFill="1" applyBorder="1" applyAlignment="1">
      <alignment horizontal="center"/>
    </xf>
    <xf numFmtId="168" fontId="1" fillId="3" borderId="1" xfId="0" applyNumberFormat="1" applyFont="1" applyFill="1" applyBorder="1" applyAlignment="1">
      <alignment horizontal="center"/>
    </xf>
    <xf numFmtId="10" fontId="1" fillId="0" borderId="4" xfId="0" applyNumberFormat="1" applyFont="1" applyBorder="1" applyAlignment="1">
      <alignment horizontal="center"/>
    </xf>
    <xf numFmtId="164" fontId="2" fillId="2" borderId="0" xfId="0" applyNumberFormat="1" applyFont="1" applyFill="1" applyAlignment="1">
      <alignment horizontal="center"/>
    </xf>
    <xf numFmtId="165" fontId="1" fillId="3" borderId="1" xfId="0" applyNumberFormat="1" applyFont="1" applyFill="1" applyBorder="1" applyAlignment="1">
      <alignment horizontal="center"/>
    </xf>
    <xf numFmtId="165" fontId="1" fillId="3" borderId="1" xfId="0" applyNumberFormat="1" applyFont="1" applyFill="1" applyBorder="1"/>
    <xf numFmtId="0" fontId="1" fillId="2" borderId="1" xfId="0" applyFont="1" applyFill="1" applyBorder="1"/>
    <xf numFmtId="4" fontId="1" fillId="2" borderId="1" xfId="0" applyNumberFormat="1" applyFont="1" applyFill="1" applyBorder="1" applyAlignment="1">
      <alignment horizontal="center"/>
    </xf>
    <xf numFmtId="10" fontId="1" fillId="8" borderId="8" xfId="0" applyNumberFormat="1" applyFont="1" applyFill="1" applyBorder="1" applyAlignment="1">
      <alignment horizontal="center"/>
    </xf>
    <xf numFmtId="166" fontId="1" fillId="8" borderId="9" xfId="0" applyNumberFormat="1" applyFont="1" applyFill="1" applyBorder="1" applyAlignment="1">
      <alignment horizontal="center"/>
    </xf>
    <xf numFmtId="166" fontId="1" fillId="0" borderId="5" xfId="0" applyNumberFormat="1" applyFont="1" applyBorder="1" applyAlignment="1">
      <alignment horizontal="center"/>
    </xf>
    <xf numFmtId="0" fontId="3" fillId="2" borderId="12" xfId="0" applyFont="1" applyFill="1" applyBorder="1" applyAlignment="1">
      <alignment horizontal="center"/>
    </xf>
    <xf numFmtId="10" fontId="4" fillId="0" borderId="4" xfId="0" applyNumberFormat="1" applyFont="1" applyBorder="1" applyAlignment="1">
      <alignment horizontal="center"/>
    </xf>
    <xf numFmtId="165" fontId="4" fillId="5" borderId="1" xfId="0" applyNumberFormat="1" applyFont="1" applyFill="1" applyBorder="1" applyAlignment="1">
      <alignment horizontal="center"/>
    </xf>
    <xf numFmtId="0" fontId="3" fillId="2" borderId="2" xfId="0" applyFont="1" applyFill="1" applyBorder="1" applyAlignment="1">
      <alignment horizontal="center"/>
    </xf>
    <xf numFmtId="165" fontId="4" fillId="5" borderId="13" xfId="0" applyNumberFormat="1" applyFont="1" applyFill="1" applyBorder="1" applyAlignment="1">
      <alignment horizontal="center"/>
    </xf>
    <xf numFmtId="167" fontId="4" fillId="5" borderId="8" xfId="0" applyNumberFormat="1" applyFont="1" applyFill="1" applyBorder="1" applyAlignment="1">
      <alignment horizontal="center"/>
    </xf>
    <xf numFmtId="167" fontId="4" fillId="5" borderId="9" xfId="0" applyNumberFormat="1" applyFont="1" applyFill="1" applyBorder="1" applyAlignment="1">
      <alignment horizontal="center"/>
    </xf>
    <xf numFmtId="0" fontId="0" fillId="0" borderId="0" xfId="0" applyAlignment="1">
      <alignment horizontal="center"/>
    </xf>
    <xf numFmtId="166" fontId="1" fillId="8" borderId="1" xfId="0" applyNumberFormat="1" applyFont="1" applyFill="1" applyBorder="1" applyAlignment="1">
      <alignment horizontal="center"/>
    </xf>
    <xf numFmtId="10" fontId="1" fillId="8" borderId="1" xfId="0" applyNumberFormat="1" applyFont="1" applyFill="1" applyBorder="1" applyAlignment="1">
      <alignment horizontal="center"/>
    </xf>
    <xf numFmtId="10" fontId="1" fillId="8" borderId="13" xfId="0" applyNumberFormat="1" applyFont="1" applyFill="1" applyBorder="1" applyAlignment="1">
      <alignment horizontal="center"/>
    </xf>
    <xf numFmtId="8" fontId="1" fillId="8" borderId="1" xfId="0" applyNumberFormat="1" applyFont="1" applyFill="1" applyBorder="1" applyAlignment="1">
      <alignment horizontal="center"/>
    </xf>
    <xf numFmtId="8" fontId="1" fillId="8" borderId="9" xfId="0" applyNumberFormat="1" applyFont="1" applyFill="1" applyBorder="1" applyAlignment="1">
      <alignment horizontal="center"/>
    </xf>
    <xf numFmtId="10" fontId="1" fillId="8" borderId="9" xfId="0" applyNumberFormat="1" applyFont="1" applyFill="1" applyBorder="1" applyAlignment="1">
      <alignment horizontal="center"/>
    </xf>
    <xf numFmtId="8" fontId="1" fillId="3" borderId="1" xfId="0" applyNumberFormat="1" applyFont="1" applyFill="1" applyBorder="1" applyAlignment="1">
      <alignment horizontal="center"/>
    </xf>
    <xf numFmtId="170" fontId="4" fillId="0" borderId="5" xfId="0" applyNumberFormat="1" applyFont="1" applyBorder="1" applyAlignment="1">
      <alignment horizontal="center"/>
    </xf>
    <xf numFmtId="10" fontId="1" fillId="8" borderId="17" xfId="0" applyNumberFormat="1" applyFont="1" applyFill="1" applyBorder="1" applyAlignment="1">
      <alignment horizontal="center"/>
    </xf>
    <xf numFmtId="8" fontId="1" fillId="8" borderId="18" xfId="0" applyNumberFormat="1" applyFont="1" applyFill="1" applyBorder="1" applyAlignment="1">
      <alignment horizontal="center"/>
    </xf>
    <xf numFmtId="10" fontId="1" fillId="8" borderId="18" xfId="0" applyNumberFormat="1" applyFont="1" applyFill="1" applyBorder="1" applyAlignment="1">
      <alignment horizontal="center"/>
    </xf>
    <xf numFmtId="166" fontId="1" fillId="8" borderId="18" xfId="0" applyNumberFormat="1" applyFont="1" applyFill="1" applyBorder="1" applyAlignment="1">
      <alignment horizontal="center"/>
    </xf>
    <xf numFmtId="166" fontId="1" fillId="3" borderId="1" xfId="0" applyNumberFormat="1" applyFont="1" applyFill="1" applyBorder="1" applyAlignment="1">
      <alignment horizontal="center"/>
    </xf>
    <xf numFmtId="171" fontId="1" fillId="3" borderId="1" xfId="0" applyNumberFormat="1" applyFont="1" applyFill="1" applyBorder="1" applyAlignment="1">
      <alignment horizontal="center"/>
    </xf>
    <xf numFmtId="4" fontId="1" fillId="2" borderId="18" xfId="0" applyNumberFormat="1" applyFont="1" applyFill="1" applyBorder="1" applyAlignment="1">
      <alignment horizontal="center"/>
    </xf>
    <xf numFmtId="0" fontId="3" fillId="2" borderId="19" xfId="0" applyFont="1" applyFill="1" applyBorder="1" applyAlignment="1">
      <alignment horizontal="center"/>
    </xf>
    <xf numFmtId="9" fontId="1" fillId="0" borderId="13" xfId="0" applyNumberFormat="1" applyFont="1" applyBorder="1" applyAlignment="1">
      <alignment horizontal="center"/>
    </xf>
    <xf numFmtId="0" fontId="3" fillId="2" borderId="14" xfId="0" applyFont="1" applyFill="1" applyBorder="1" applyAlignment="1">
      <alignment horizontal="center"/>
    </xf>
    <xf numFmtId="9" fontId="1" fillId="0" borderId="8" xfId="0" applyNumberFormat="1" applyFont="1" applyBorder="1" applyAlignment="1">
      <alignment horizontal="center"/>
    </xf>
    <xf numFmtId="10" fontId="1" fillId="4" borderId="9" xfId="0" applyNumberFormat="1" applyFont="1" applyFill="1" applyBorder="1" applyAlignment="1">
      <alignment horizontal="center"/>
    </xf>
    <xf numFmtId="166" fontId="1" fillId="3" borderId="9" xfId="0" applyNumberFormat="1" applyFont="1" applyFill="1" applyBorder="1" applyAlignment="1">
      <alignment horizontal="center"/>
    </xf>
    <xf numFmtId="9" fontId="1" fillId="3" borderId="9" xfId="0" applyNumberFormat="1" applyFont="1" applyFill="1" applyBorder="1" applyAlignment="1">
      <alignment horizontal="center"/>
    </xf>
    <xf numFmtId="0" fontId="1" fillId="3" borderId="9" xfId="0" applyFont="1" applyFill="1" applyBorder="1" applyAlignment="1">
      <alignment horizontal="center"/>
    </xf>
    <xf numFmtId="167" fontId="1" fillId="3" borderId="9" xfId="0" applyNumberFormat="1" applyFont="1" applyFill="1" applyBorder="1" applyAlignment="1">
      <alignment horizontal="center"/>
    </xf>
    <xf numFmtId="4" fontId="1" fillId="2" borderId="9" xfId="0" applyNumberFormat="1" applyFont="1" applyFill="1" applyBorder="1" applyAlignment="1">
      <alignment horizontal="center"/>
    </xf>
    <xf numFmtId="0" fontId="3" fillId="2" borderId="10" xfId="0" applyFont="1" applyFill="1" applyBorder="1" applyAlignment="1">
      <alignment horizontal="center"/>
    </xf>
    <xf numFmtId="10" fontId="1" fillId="3" borderId="9" xfId="0" applyNumberFormat="1" applyFont="1" applyFill="1" applyBorder="1" applyAlignment="1">
      <alignment horizontal="center"/>
    </xf>
    <xf numFmtId="0" fontId="1" fillId="2" borderId="9" xfId="0" applyFont="1" applyFill="1" applyBorder="1" applyAlignment="1">
      <alignment horizontal="center"/>
    </xf>
    <xf numFmtId="0" fontId="1" fillId="2" borderId="9" xfId="0" applyFont="1" applyFill="1" applyBorder="1"/>
    <xf numFmtId="166" fontId="1" fillId="4" borderId="9" xfId="0" applyNumberFormat="1" applyFont="1" applyFill="1" applyBorder="1" applyAlignment="1">
      <alignment horizontal="center"/>
    </xf>
    <xf numFmtId="9" fontId="1" fillId="4" borderId="9" xfId="0" applyNumberFormat="1" applyFont="1" applyFill="1" applyBorder="1" applyAlignment="1">
      <alignment horizontal="center"/>
    </xf>
    <xf numFmtId="0" fontId="1" fillId="4" borderId="9" xfId="0" applyFont="1" applyFill="1" applyBorder="1" applyAlignment="1">
      <alignment horizontal="center"/>
    </xf>
    <xf numFmtId="167" fontId="1" fillId="4" borderId="9" xfId="0" applyNumberFormat="1" applyFont="1" applyFill="1" applyBorder="1" applyAlignment="1">
      <alignment horizontal="center"/>
    </xf>
    <xf numFmtId="10" fontId="1" fillId="7" borderId="9" xfId="0" applyNumberFormat="1" applyFont="1" applyFill="1" applyBorder="1" applyAlignment="1">
      <alignment horizontal="center"/>
    </xf>
    <xf numFmtId="166" fontId="1" fillId="7" borderId="9" xfId="0" applyNumberFormat="1" applyFont="1" applyFill="1" applyBorder="1" applyAlignment="1">
      <alignment horizontal="center"/>
    </xf>
    <xf numFmtId="9" fontId="1" fillId="7" borderId="9" xfId="0" applyNumberFormat="1" applyFont="1" applyFill="1" applyBorder="1" applyAlignment="1">
      <alignment horizontal="center"/>
    </xf>
    <xf numFmtId="0" fontId="1" fillId="7" borderId="9" xfId="0" applyFont="1" applyFill="1" applyBorder="1" applyAlignment="1">
      <alignment horizontal="center"/>
    </xf>
    <xf numFmtId="167" fontId="1" fillId="7" borderId="9" xfId="0" applyNumberFormat="1" applyFont="1" applyFill="1" applyBorder="1" applyAlignment="1">
      <alignment horizontal="center"/>
    </xf>
    <xf numFmtId="167" fontId="4" fillId="5" borderId="0" xfId="0" applyNumberFormat="1" applyFont="1" applyFill="1" applyAlignment="1">
      <alignment horizontal="center"/>
    </xf>
    <xf numFmtId="9" fontId="4" fillId="5" borderId="0" xfId="0" applyNumberFormat="1" applyFont="1" applyFill="1" applyAlignment="1">
      <alignment horizontal="center"/>
    </xf>
    <xf numFmtId="167" fontId="1" fillId="5" borderId="0" xfId="0" applyNumberFormat="1" applyFont="1" applyFill="1" applyAlignment="1">
      <alignment horizontal="center"/>
    </xf>
    <xf numFmtId="0" fontId="2" fillId="2" borderId="13" xfId="0" applyFont="1" applyFill="1" applyBorder="1" applyAlignment="1">
      <alignment horizontal="center"/>
    </xf>
    <xf numFmtId="0" fontId="0" fillId="5" borderId="0" xfId="0" applyFill="1" applyAlignment="1">
      <alignment horizontal="center"/>
    </xf>
    <xf numFmtId="0" fontId="0" fillId="5" borderId="0" xfId="0" applyFill="1"/>
    <xf numFmtId="10" fontId="1" fillId="5" borderId="0" xfId="0" applyNumberFormat="1" applyFont="1" applyFill="1" applyAlignment="1">
      <alignment horizontal="center"/>
    </xf>
    <xf numFmtId="166" fontId="1" fillId="5" borderId="0" xfId="0" applyNumberFormat="1" applyFont="1" applyFill="1" applyAlignment="1">
      <alignment horizontal="center"/>
    </xf>
    <xf numFmtId="0" fontId="1" fillId="5" borderId="0" xfId="0" applyFont="1" applyFill="1" applyAlignment="1">
      <alignment horizontal="center"/>
    </xf>
    <xf numFmtId="0" fontId="2" fillId="5" borderId="0" xfId="0" applyFont="1" applyFill="1"/>
    <xf numFmtId="0" fontId="2" fillId="5" borderId="0" xfId="0" applyFont="1" applyFill="1" applyAlignment="1">
      <alignment horizontal="center"/>
    </xf>
    <xf numFmtId="164" fontId="2" fillId="5" borderId="0" xfId="0" applyNumberFormat="1" applyFont="1" applyFill="1" applyAlignment="1">
      <alignment horizontal="center"/>
    </xf>
    <xf numFmtId="169" fontId="2" fillId="5" borderId="0" xfId="0" applyNumberFormat="1" applyFont="1" applyFill="1" applyAlignment="1">
      <alignment horizontal="center"/>
    </xf>
    <xf numFmtId="165" fontId="1" fillId="3" borderId="9" xfId="0" applyNumberFormat="1" applyFont="1" applyFill="1" applyBorder="1" applyAlignment="1">
      <alignment horizontal="center"/>
    </xf>
    <xf numFmtId="165" fontId="1" fillId="4" borderId="1" xfId="0" applyNumberFormat="1" applyFont="1" applyFill="1" applyBorder="1" applyAlignment="1">
      <alignment horizontal="center"/>
    </xf>
    <xf numFmtId="165" fontId="1" fillId="4" borderId="9" xfId="0" applyNumberFormat="1" applyFont="1" applyFill="1" applyBorder="1" applyAlignment="1">
      <alignment horizontal="center"/>
    </xf>
    <xf numFmtId="165" fontId="1" fillId="7" borderId="1" xfId="0" applyNumberFormat="1" applyFont="1" applyFill="1" applyBorder="1" applyAlignment="1">
      <alignment horizontal="center"/>
    </xf>
    <xf numFmtId="165" fontId="1" fillId="7" borderId="9" xfId="0" applyNumberFormat="1" applyFont="1" applyFill="1" applyBorder="1" applyAlignment="1">
      <alignment horizontal="center"/>
    </xf>
    <xf numFmtId="166" fontId="0" fillId="0" borderId="0" xfId="0" applyNumberFormat="1"/>
    <xf numFmtId="43" fontId="0" fillId="0" borderId="0" xfId="0" applyNumberFormat="1"/>
    <xf numFmtId="0" fontId="4" fillId="3" borderId="1" xfId="0" applyFont="1" applyFill="1" applyBorder="1" applyAlignment="1">
      <alignment horizontal="center"/>
    </xf>
    <xf numFmtId="0" fontId="4" fillId="3" borderId="9" xfId="0" applyFont="1" applyFill="1" applyBorder="1" applyAlignment="1">
      <alignment horizontal="center"/>
    </xf>
    <xf numFmtId="0" fontId="4" fillId="4" borderId="1" xfId="0" applyFont="1" applyFill="1" applyBorder="1" applyAlignment="1">
      <alignment horizontal="center"/>
    </xf>
    <xf numFmtId="0" fontId="4" fillId="4" borderId="9" xfId="0" applyFont="1" applyFill="1" applyBorder="1" applyAlignment="1">
      <alignment horizontal="center"/>
    </xf>
    <xf numFmtId="0" fontId="4" fillId="7" borderId="1" xfId="0" applyFont="1" applyFill="1" applyBorder="1" applyAlignment="1">
      <alignment horizontal="center"/>
    </xf>
    <xf numFmtId="0" fontId="4" fillId="7" borderId="9" xfId="0" applyFont="1" applyFill="1" applyBorder="1" applyAlignment="1">
      <alignment horizontal="center"/>
    </xf>
    <xf numFmtId="0" fontId="4" fillId="8" borderId="14" xfId="0" applyFont="1" applyFill="1" applyBorder="1" applyAlignment="1">
      <alignment horizontal="center"/>
    </xf>
    <xf numFmtId="0" fontId="4" fillId="8" borderId="19" xfId="0" applyFont="1" applyFill="1" applyBorder="1" applyAlignment="1">
      <alignment horizontal="center"/>
    </xf>
    <xf numFmtId="0" fontId="4" fillId="8" borderId="10" xfId="0" applyFont="1" applyFill="1" applyBorder="1" applyAlignment="1">
      <alignment horizontal="center"/>
    </xf>
    <xf numFmtId="0" fontId="2" fillId="2" borderId="26" xfId="0" applyFont="1" applyFill="1" applyBorder="1" applyAlignment="1">
      <alignment horizontal="center"/>
    </xf>
    <xf numFmtId="0" fontId="2" fillId="2" borderId="27" xfId="0" applyFont="1" applyFill="1" applyBorder="1" applyAlignment="1">
      <alignment horizontal="center"/>
    </xf>
    <xf numFmtId="0" fontId="2" fillId="2" borderId="28" xfId="0" applyFont="1" applyFill="1" applyBorder="1" applyAlignment="1">
      <alignment horizontal="center"/>
    </xf>
    <xf numFmtId="0" fontId="3" fillId="2" borderId="29" xfId="0" applyFont="1" applyFill="1" applyBorder="1" applyAlignment="1">
      <alignment horizontal="center"/>
    </xf>
    <xf numFmtId="167" fontId="6" fillId="4" borderId="9" xfId="0" applyNumberFormat="1" applyFont="1" applyFill="1" applyBorder="1" applyAlignment="1">
      <alignment horizontal="center"/>
    </xf>
    <xf numFmtId="167" fontId="6" fillId="4" borderId="1" xfId="0" applyNumberFormat="1" applyFont="1" applyFill="1" applyBorder="1" applyAlignment="1">
      <alignment horizontal="center"/>
    </xf>
    <xf numFmtId="167" fontId="6" fillId="3" borderId="1" xfId="0" applyNumberFormat="1" applyFont="1" applyFill="1" applyBorder="1" applyAlignment="1">
      <alignment horizontal="center"/>
    </xf>
    <xf numFmtId="167" fontId="6" fillId="3" borderId="9" xfId="0" applyNumberFormat="1" applyFont="1" applyFill="1" applyBorder="1" applyAlignment="1">
      <alignment horizontal="center"/>
    </xf>
    <xf numFmtId="166" fontId="4" fillId="5" borderId="8" xfId="0" applyNumberFormat="1" applyFont="1" applyFill="1" applyBorder="1" applyAlignment="1">
      <alignment horizontal="center"/>
    </xf>
    <xf numFmtId="9" fontId="4" fillId="5" borderId="13" xfId="0" applyNumberFormat="1" applyFont="1" applyFill="1" applyBorder="1" applyAlignment="1">
      <alignment horizontal="center"/>
    </xf>
    <xf numFmtId="9" fontId="4" fillId="5" borderId="8" xfId="0" applyNumberFormat="1" applyFont="1" applyFill="1" applyBorder="1" applyAlignment="1">
      <alignment horizontal="center"/>
    </xf>
    <xf numFmtId="9" fontId="7" fillId="5" borderId="0" xfId="0" applyNumberFormat="1" applyFont="1" applyFill="1" applyAlignment="1">
      <alignment horizontal="center"/>
    </xf>
    <xf numFmtId="0" fontId="3" fillId="2" borderId="30" xfId="0" applyFont="1" applyFill="1" applyBorder="1" applyAlignment="1">
      <alignment horizontal="center"/>
    </xf>
    <xf numFmtId="0" fontId="3" fillId="2" borderId="31" xfId="0" applyFont="1" applyFill="1" applyBorder="1" applyAlignment="1">
      <alignment horizontal="center"/>
    </xf>
    <xf numFmtId="9" fontId="7" fillId="5" borderId="14" xfId="0" applyNumberFormat="1" applyFont="1" applyFill="1" applyBorder="1" applyAlignment="1">
      <alignment horizontal="center"/>
    </xf>
    <xf numFmtId="9" fontId="7" fillId="5" borderId="10" xfId="0" applyNumberFormat="1" applyFont="1" applyFill="1" applyBorder="1" applyAlignment="1">
      <alignment horizontal="center"/>
    </xf>
    <xf numFmtId="0" fontId="2" fillId="2" borderId="25" xfId="0" applyFont="1" applyFill="1" applyBorder="1" applyAlignment="1">
      <alignment horizontal="center"/>
    </xf>
    <xf numFmtId="0" fontId="2" fillId="2" borderId="6" xfId="0" applyFont="1" applyFill="1" applyBorder="1" applyAlignment="1">
      <alignment horizontal="center"/>
    </xf>
    <xf numFmtId="0" fontId="3" fillId="2" borderId="7" xfId="0" applyFont="1" applyFill="1" applyBorder="1" applyAlignment="1">
      <alignment horizontal="center"/>
    </xf>
    <xf numFmtId="0" fontId="4" fillId="0" borderId="23"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4" fillId="0" borderId="20" xfId="0" applyFont="1" applyBorder="1" applyAlignment="1">
      <alignment horizontal="center"/>
    </xf>
    <xf numFmtId="0" fontId="4" fillId="0" borderId="21" xfId="0" applyFont="1" applyBorder="1" applyAlignment="1">
      <alignment horizontal="center"/>
    </xf>
    <xf numFmtId="0" fontId="4" fillId="0" borderId="22" xfId="0" applyFont="1" applyBorder="1" applyAlignment="1">
      <alignment horizontal="center"/>
    </xf>
    <xf numFmtId="0" fontId="0" fillId="0" borderId="0" xfId="0"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xf numFmtId="167" fontId="1" fillId="5" borderId="11" xfId="0" applyNumberFormat="1" applyFont="1" applyFill="1" applyBorder="1" applyAlignment="1">
      <alignment horizontal="center"/>
    </xf>
    <xf numFmtId="167" fontId="1" fillId="5" borderId="15" xfId="0" applyNumberFormat="1" applyFont="1" applyFill="1" applyBorder="1" applyAlignment="1">
      <alignment horizontal="center"/>
    </xf>
    <xf numFmtId="0" fontId="2" fillId="2" borderId="0" xfId="0" applyFont="1" applyFill="1" applyAlignment="1">
      <alignment horizontal="center"/>
    </xf>
    <xf numFmtId="169" fontId="2" fillId="2" borderId="0" xfId="0" applyNumberFormat="1" applyFont="1" applyFill="1" applyAlignment="1">
      <alignment horizontal="center"/>
    </xf>
    <xf numFmtId="168" fontId="1" fillId="5" borderId="1" xfId="0" applyNumberFormat="1" applyFont="1" applyFill="1" applyBorder="1" applyAlignment="1">
      <alignment horizontal="center"/>
    </xf>
    <xf numFmtId="168" fontId="1" fillId="5" borderId="14" xfId="0" applyNumberFormat="1" applyFont="1" applyFill="1" applyBorder="1" applyAlignment="1">
      <alignment horizontal="center"/>
    </xf>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16" xfId="0" applyFont="1" applyFill="1" applyBorder="1" applyAlignment="1">
      <alignment horizontal="center"/>
    </xf>
    <xf numFmtId="165" fontId="5" fillId="5" borderId="6" xfId="0" applyNumberFormat="1" applyFont="1" applyFill="1" applyBorder="1" applyAlignment="1">
      <alignment horizontal="center"/>
    </xf>
    <xf numFmtId="165" fontId="5" fillId="5" borderId="7" xfId="0" applyNumberFormat="1" applyFont="1" applyFill="1" applyBorder="1" applyAlignment="1">
      <alignment horizontal="center"/>
    </xf>
    <xf numFmtId="165" fontId="5" fillId="5" borderId="9" xfId="0" applyNumberFormat="1" applyFont="1" applyFill="1" applyBorder="1" applyAlignment="1">
      <alignment horizontal="center"/>
    </xf>
    <xf numFmtId="165" fontId="5" fillId="5" borderId="10" xfId="0" applyNumberFormat="1" applyFont="1" applyFill="1" applyBorder="1" applyAlignment="1">
      <alignment horizontal="center"/>
    </xf>
    <xf numFmtId="9" fontId="4" fillId="5" borderId="16" xfId="0" applyNumberFormat="1" applyFont="1" applyFill="1" applyBorder="1" applyAlignment="1">
      <alignment horizontal="center" vertical="center"/>
    </xf>
    <xf numFmtId="9" fontId="4" fillId="5" borderId="24" xfId="0" applyNumberFormat="1" applyFont="1" applyFill="1" applyBorder="1" applyAlignment="1">
      <alignment horizontal="center" vertical="center"/>
    </xf>
    <xf numFmtId="165" fontId="5" fillId="5" borderId="25" xfId="0" applyNumberFormat="1" applyFont="1" applyFill="1" applyBorder="1" applyAlignment="1">
      <alignment horizontal="center"/>
    </xf>
    <xf numFmtId="165" fontId="5" fillId="5" borderId="8" xfId="0" applyNumberFormat="1" applyFont="1" applyFill="1" applyBorder="1" applyAlignment="1">
      <alignment horizontal="center"/>
    </xf>
  </cellXfs>
  <cellStyles count="1">
    <cellStyle name="Normal" xfId="0" builtinId="0"/>
  </cellStyles>
  <dxfs count="6">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1"/>
      </font>
      <fill>
        <patternFill>
          <bgColor rgb="FFFFC000"/>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13" Type="http://schemas.openxmlformats.org/officeDocument/2006/relationships/calcChain" Target="calcChain.xml"/><Relationship Id="rId3" Type="http://schemas.openxmlformats.org/officeDocument/2006/relationships/styles" Target="styles.xml"/><Relationship Id="rId7" Type="http://schemas.microsoft.com/office/2017/06/relationships/rdRichValueStructure" Target="richData/rdrichvaluestructure.xml"/><Relationship Id="rId12"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he-IL"/>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גיליון1!$D$20</c:f>
              <c:strCache>
                <c:ptCount val="1"/>
                <c:pt idx="0">
                  <c:v>סקטור</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extLst>
              <c:ext xmlns:c16="http://schemas.microsoft.com/office/drawing/2014/chart" uri="{C3380CC4-5D6E-409C-BE32-E72D297353CC}">
                <c16:uniqueId val="{00000008-12DC-4080-8BCF-9811D84D0CE8}"/>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sp3d/>
            </c:spPr>
            <c:extLst>
              <c:ext xmlns:c16="http://schemas.microsoft.com/office/drawing/2014/chart" uri="{C3380CC4-5D6E-409C-BE32-E72D297353CC}">
                <c16:uniqueId val="{00000009-12DC-4080-8BCF-9811D84D0CE8}"/>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p3d/>
            </c:spPr>
            <c:extLst>
              <c:ext xmlns:c16="http://schemas.microsoft.com/office/drawing/2014/chart" uri="{C3380CC4-5D6E-409C-BE32-E72D297353CC}">
                <c16:uniqueId val="{0000000A-12DC-4080-8BCF-9811D84D0CE8}"/>
              </c:ext>
            </c:extLst>
          </c:dPt>
          <c:dPt>
            <c:idx val="3"/>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sp3d/>
            </c:spPr>
            <c:extLst>
              <c:ext xmlns:c16="http://schemas.microsoft.com/office/drawing/2014/chart" uri="{C3380CC4-5D6E-409C-BE32-E72D297353CC}">
                <c16:uniqueId val="{0000000B-12DC-4080-8BCF-9811D84D0CE8}"/>
              </c:ext>
            </c:extLst>
          </c:dPt>
          <c:dPt>
            <c:idx val="4"/>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sp3d/>
            </c:spPr>
            <c:extLst>
              <c:ext xmlns:c16="http://schemas.microsoft.com/office/drawing/2014/chart" uri="{C3380CC4-5D6E-409C-BE32-E72D297353CC}">
                <c16:uniqueId val="{0000000C-12DC-4080-8BCF-9811D84D0CE8}"/>
              </c:ext>
            </c:extLst>
          </c:dPt>
          <c:dPt>
            <c:idx val="5"/>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sp3d/>
            </c:spPr>
            <c:extLst>
              <c:ext xmlns:c16="http://schemas.microsoft.com/office/drawing/2014/chart" uri="{C3380CC4-5D6E-409C-BE32-E72D297353CC}">
                <c16:uniqueId val="{00000010-12DC-4080-8BCF-9811D84D0CE8}"/>
              </c:ext>
            </c:extLst>
          </c:dPt>
          <c:dPt>
            <c:idx val="6"/>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sp3d/>
            </c:spPr>
            <c:extLst>
              <c:ext xmlns:c16="http://schemas.microsoft.com/office/drawing/2014/chart" uri="{C3380CC4-5D6E-409C-BE32-E72D297353CC}">
                <c16:uniqueId val="{0000000F-12DC-4080-8BCF-9811D84D0CE8}"/>
              </c:ext>
            </c:extLst>
          </c:dPt>
          <c:dPt>
            <c:idx val="7"/>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sp3d/>
            </c:spPr>
            <c:extLst>
              <c:ext xmlns:c16="http://schemas.microsoft.com/office/drawing/2014/chart" uri="{C3380CC4-5D6E-409C-BE32-E72D297353CC}">
                <c16:uniqueId val="{0000000D-12DC-4080-8BCF-9811D84D0CE8}"/>
              </c:ext>
            </c:extLst>
          </c:dPt>
          <c:dPt>
            <c:idx val="8"/>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sp3d/>
            </c:spPr>
            <c:extLst>
              <c:ext xmlns:c16="http://schemas.microsoft.com/office/drawing/2014/chart" uri="{C3380CC4-5D6E-409C-BE32-E72D297353CC}">
                <c16:uniqueId val="{0000000E-12DC-4080-8BCF-9811D84D0CE8}"/>
              </c:ext>
            </c:extLst>
          </c:dPt>
          <c:dPt>
            <c:idx val="9"/>
            <c:bubble3D val="0"/>
            <c:spPr>
              <a:gradFill rotWithShape="1">
                <a:gsLst>
                  <a:gs pos="0">
                    <a:schemeClr val="accent2">
                      <a:lumMod val="80000"/>
                      <a:satMod val="103000"/>
                      <a:lumMod val="102000"/>
                      <a:tint val="94000"/>
                    </a:schemeClr>
                  </a:gs>
                  <a:gs pos="50000">
                    <a:schemeClr val="accent2">
                      <a:lumMod val="80000"/>
                      <a:satMod val="110000"/>
                      <a:lumMod val="100000"/>
                      <a:shade val="100000"/>
                    </a:schemeClr>
                  </a:gs>
                  <a:gs pos="100000">
                    <a:schemeClr val="accent2">
                      <a:lumMod val="80000"/>
                      <a:lumMod val="99000"/>
                      <a:satMod val="120000"/>
                      <a:shade val="78000"/>
                    </a:schemeClr>
                  </a:gs>
                </a:gsLst>
                <a:lin ang="5400000" scaled="0"/>
              </a:gradFill>
              <a:ln>
                <a:noFill/>
              </a:ln>
              <a:effectLst/>
              <a:sp3d/>
            </c:spPr>
            <c:extLst>
              <c:ext xmlns:c16="http://schemas.microsoft.com/office/drawing/2014/chart" uri="{C3380CC4-5D6E-409C-BE32-E72D297353CC}">
                <c16:uniqueId val="{00000007-12DC-4080-8BCF-9811D84D0CE8}"/>
              </c:ext>
            </c:extLst>
          </c:dPt>
          <c:dPt>
            <c:idx val="10"/>
            <c:bubble3D val="0"/>
            <c:spPr>
              <a:gradFill rotWithShape="1">
                <a:gsLst>
                  <a:gs pos="0">
                    <a:schemeClr val="accent4">
                      <a:lumMod val="80000"/>
                      <a:satMod val="103000"/>
                      <a:lumMod val="102000"/>
                      <a:tint val="94000"/>
                    </a:schemeClr>
                  </a:gs>
                  <a:gs pos="50000">
                    <a:schemeClr val="accent4">
                      <a:lumMod val="80000"/>
                      <a:satMod val="110000"/>
                      <a:lumMod val="100000"/>
                      <a:shade val="100000"/>
                    </a:schemeClr>
                  </a:gs>
                  <a:gs pos="100000">
                    <a:schemeClr val="accent4">
                      <a:lumMod val="80000"/>
                      <a:lumMod val="99000"/>
                      <a:satMod val="120000"/>
                      <a:shade val="78000"/>
                    </a:schemeClr>
                  </a:gs>
                </a:gsLst>
                <a:lin ang="5400000" scaled="0"/>
              </a:gradFill>
              <a:ln>
                <a:noFill/>
              </a:ln>
              <a:effectLst/>
              <a:sp3d/>
            </c:spPr>
            <c:extLst>
              <c:ext xmlns:c16="http://schemas.microsoft.com/office/drawing/2014/chart" uri="{C3380CC4-5D6E-409C-BE32-E72D297353CC}">
                <c16:uniqueId val="{00000006-12DC-4080-8BCF-9811D84D0CE8}"/>
              </c:ext>
            </c:extLst>
          </c:dPt>
          <c:dPt>
            <c:idx val="11"/>
            <c:bubble3D val="0"/>
            <c:spPr>
              <a:gradFill rotWithShape="1">
                <a:gsLst>
                  <a:gs pos="0">
                    <a:schemeClr val="accent6">
                      <a:lumMod val="80000"/>
                      <a:satMod val="103000"/>
                      <a:lumMod val="102000"/>
                      <a:tint val="94000"/>
                    </a:schemeClr>
                  </a:gs>
                  <a:gs pos="50000">
                    <a:schemeClr val="accent6">
                      <a:lumMod val="80000"/>
                      <a:satMod val="110000"/>
                      <a:lumMod val="100000"/>
                      <a:shade val="100000"/>
                    </a:schemeClr>
                  </a:gs>
                  <a:gs pos="100000">
                    <a:schemeClr val="accent6">
                      <a:lumMod val="80000"/>
                      <a:lumMod val="99000"/>
                      <a:satMod val="120000"/>
                      <a:shade val="78000"/>
                    </a:schemeClr>
                  </a:gs>
                </a:gsLst>
                <a:lin ang="5400000" scaled="0"/>
              </a:gradFill>
              <a:ln>
                <a:noFill/>
              </a:ln>
              <a:effectLst/>
              <a:sp3d/>
            </c:spPr>
            <c:extLst>
              <c:ext xmlns:c16="http://schemas.microsoft.com/office/drawing/2014/chart" uri="{C3380CC4-5D6E-409C-BE32-E72D297353CC}">
                <c16:uniqueId val="{00000005-12DC-4080-8BCF-9811D84D0CE8}"/>
              </c:ext>
            </c:extLst>
          </c:dPt>
          <c:dPt>
            <c:idx val="12"/>
            <c:bubble3D val="0"/>
            <c:spPr>
              <a:gradFill rotWithShape="1">
                <a:gsLst>
                  <a:gs pos="0">
                    <a:schemeClr val="accent2">
                      <a:lumMod val="60000"/>
                      <a:lumOff val="40000"/>
                      <a:satMod val="103000"/>
                      <a:lumMod val="102000"/>
                      <a:tint val="94000"/>
                    </a:schemeClr>
                  </a:gs>
                  <a:gs pos="50000">
                    <a:schemeClr val="accent2">
                      <a:lumMod val="60000"/>
                      <a:lumOff val="40000"/>
                      <a:satMod val="110000"/>
                      <a:lumMod val="100000"/>
                      <a:shade val="100000"/>
                    </a:schemeClr>
                  </a:gs>
                  <a:gs pos="100000">
                    <a:schemeClr val="accent2">
                      <a:lumMod val="60000"/>
                      <a:lumOff val="40000"/>
                      <a:lumMod val="99000"/>
                      <a:satMod val="120000"/>
                      <a:shade val="78000"/>
                    </a:schemeClr>
                  </a:gs>
                </a:gsLst>
                <a:lin ang="5400000" scaled="0"/>
              </a:gradFill>
              <a:ln>
                <a:noFill/>
              </a:ln>
              <a:effectLst/>
              <a:sp3d/>
            </c:spPr>
            <c:extLst>
              <c:ext xmlns:c16="http://schemas.microsoft.com/office/drawing/2014/chart" uri="{C3380CC4-5D6E-409C-BE32-E72D297353CC}">
                <c16:uniqueId val="{00000004-12DC-4080-8BCF-9811D84D0CE8}"/>
              </c:ext>
            </c:extLst>
          </c:dPt>
          <c:dPt>
            <c:idx val="13"/>
            <c:bubble3D val="0"/>
            <c:spPr>
              <a:gradFill rotWithShape="1">
                <a:gsLst>
                  <a:gs pos="0">
                    <a:schemeClr val="accent4">
                      <a:lumMod val="60000"/>
                      <a:lumOff val="40000"/>
                      <a:satMod val="103000"/>
                      <a:lumMod val="102000"/>
                      <a:tint val="94000"/>
                    </a:schemeClr>
                  </a:gs>
                  <a:gs pos="50000">
                    <a:schemeClr val="accent4">
                      <a:lumMod val="60000"/>
                      <a:lumOff val="40000"/>
                      <a:satMod val="110000"/>
                      <a:lumMod val="100000"/>
                      <a:shade val="100000"/>
                    </a:schemeClr>
                  </a:gs>
                  <a:gs pos="100000">
                    <a:schemeClr val="accent4">
                      <a:lumMod val="60000"/>
                      <a:lumOff val="40000"/>
                      <a:lumMod val="99000"/>
                      <a:satMod val="120000"/>
                      <a:shade val="78000"/>
                    </a:schemeClr>
                  </a:gs>
                </a:gsLst>
                <a:lin ang="5400000" scaled="0"/>
              </a:gradFill>
              <a:ln>
                <a:noFill/>
              </a:ln>
              <a:effectLst/>
              <a:sp3d/>
            </c:spPr>
            <c:extLst>
              <c:ext xmlns:c16="http://schemas.microsoft.com/office/drawing/2014/chart" uri="{C3380CC4-5D6E-409C-BE32-E72D297353CC}">
                <c16:uniqueId val="{00000003-12DC-4080-8BCF-9811D84D0CE8}"/>
              </c:ext>
            </c:extLst>
          </c:dPt>
          <c:dPt>
            <c:idx val="14"/>
            <c:bubble3D val="0"/>
            <c:spPr>
              <a:gradFill rotWithShape="1">
                <a:gsLst>
                  <a:gs pos="0">
                    <a:schemeClr val="accent6">
                      <a:lumMod val="60000"/>
                      <a:lumOff val="40000"/>
                      <a:satMod val="103000"/>
                      <a:lumMod val="102000"/>
                      <a:tint val="94000"/>
                    </a:schemeClr>
                  </a:gs>
                  <a:gs pos="50000">
                    <a:schemeClr val="accent6">
                      <a:lumMod val="60000"/>
                      <a:lumOff val="40000"/>
                      <a:satMod val="110000"/>
                      <a:lumMod val="100000"/>
                      <a:shade val="100000"/>
                    </a:schemeClr>
                  </a:gs>
                  <a:gs pos="100000">
                    <a:schemeClr val="accent6">
                      <a:lumMod val="60000"/>
                      <a:lumOff val="40000"/>
                      <a:lumMod val="99000"/>
                      <a:satMod val="120000"/>
                      <a:shade val="78000"/>
                    </a:schemeClr>
                  </a:gs>
                </a:gsLst>
                <a:lin ang="5400000" scaled="0"/>
              </a:gradFill>
              <a:ln>
                <a:noFill/>
              </a:ln>
              <a:effectLst/>
              <a:sp3d/>
            </c:spPr>
            <c:extLst>
              <c:ext xmlns:c16="http://schemas.microsoft.com/office/drawing/2014/chart" uri="{C3380CC4-5D6E-409C-BE32-E72D297353CC}">
                <c16:uniqueId val="{00000002-12DC-4080-8BCF-9811D84D0CE8}"/>
              </c:ext>
            </c:extLst>
          </c:dPt>
          <c:dLbls>
            <c:dLbl>
              <c:idx val="0"/>
              <c:layout>
                <c:manualLayout>
                  <c:x val="-0.20207615075680721"/>
                  <c:y val="4.5313898139556101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2DC-4080-8BCF-9811D84D0CE8}"/>
                </c:ext>
              </c:extLst>
            </c:dLbl>
            <c:dLbl>
              <c:idx val="1"/>
              <c:layout>
                <c:manualLayout>
                  <c:x val="-0.15019173367060007"/>
                  <c:y val="-0.14241510843860494"/>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2DC-4080-8BCF-9811D84D0CE8}"/>
                </c:ext>
              </c:extLst>
            </c:dLbl>
            <c:dLbl>
              <c:idx val="2"/>
              <c:layout>
                <c:manualLayout>
                  <c:x val="-0.12288414573049097"/>
                  <c:y val="-0.24598973275759034"/>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2DC-4080-8BCF-9811D84D0CE8}"/>
                </c:ext>
              </c:extLst>
            </c:dLbl>
            <c:dLbl>
              <c:idx val="3"/>
              <c:layout>
                <c:manualLayout>
                  <c:x val="0.22119146231488357"/>
                  <c:y val="5.8260726179429276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2DC-4080-8BCF-9811D84D0CE8}"/>
                </c:ext>
              </c:extLst>
            </c:dLbl>
            <c:dLbl>
              <c:idx val="4"/>
              <c:layout>
                <c:manualLayout>
                  <c:x val="0.11469186934845815"/>
                  <c:y val="9.0627796279112202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C-12DC-4080-8BCF-9811D84D0CE8}"/>
                </c:ext>
              </c:extLst>
            </c:dLbl>
            <c:dLbl>
              <c:idx val="5"/>
              <c:layout>
                <c:manualLayout>
                  <c:x val="2.7307587940109085E-3"/>
                  <c:y val="0.12299486637879513"/>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0-12DC-4080-8BCF-9811D84D0CE8}"/>
                </c:ext>
              </c:extLst>
            </c:dLbl>
            <c:dLbl>
              <c:idx val="6"/>
              <c:layout>
                <c:manualLayout>
                  <c:x val="-5.1884417086207259E-2"/>
                  <c:y val="0.10033791730901709"/>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12DC-4080-8BCF-9811D84D0CE8}"/>
                </c:ext>
              </c:extLst>
            </c:dLbl>
            <c:dLbl>
              <c:idx val="7"/>
              <c:layout>
                <c:manualLayout>
                  <c:x val="2.7307587940109085E-3"/>
                  <c:y val="7.768096823923903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2DC-4080-8BCF-9811D84D0CE8}"/>
                </c:ext>
              </c:extLst>
            </c:dLbl>
            <c:dLbl>
              <c:idx val="8"/>
              <c:layout>
                <c:manualLayout>
                  <c:x val="1.3653793970054543E-2"/>
                  <c:y val="6.149692347175820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E-12DC-4080-8BCF-9811D84D0CE8}"/>
                </c:ext>
              </c:extLst>
            </c:dLbl>
            <c:dLbl>
              <c:idx val="9"/>
              <c:layout>
                <c:manualLayout>
                  <c:x val="0.12288414573049088"/>
                  <c:y val="3.2367070099682928E-3"/>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2DC-4080-8BCF-9811D84D0CE8}"/>
                </c:ext>
              </c:extLst>
            </c:dLbl>
            <c:dLbl>
              <c:idx val="10"/>
              <c:layout>
                <c:manualLayout>
                  <c:x val="-1.3653793970054543E-2"/>
                  <c:y val="2.2656949069778037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2DC-4080-8BCF-9811D84D0CE8}"/>
                </c:ext>
              </c:extLst>
            </c:dLbl>
            <c:dLbl>
              <c:idx val="11"/>
              <c:layout>
                <c:manualLayout>
                  <c:x val="-4.9153658292196353E-2"/>
                  <c:y val="0"/>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2DC-4080-8BCF-9811D84D0CE8}"/>
                </c:ext>
              </c:extLst>
            </c:dLbl>
            <c:dLbl>
              <c:idx val="12"/>
              <c:layout>
                <c:manualLayout>
                  <c:x val="-2.4576829146098177E-2"/>
                  <c:y val="-3.8840484119619517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2DC-4080-8BCF-9811D84D0CE8}"/>
                </c:ext>
              </c:extLst>
            </c:dLbl>
            <c:dLbl>
              <c:idx val="13"/>
              <c:layout>
                <c:manualLayout>
                  <c:x val="5.4615175880218116E-2"/>
                  <c:y val="-2.9130363089714641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2DC-4080-8BCF-9811D84D0CE8}"/>
                </c:ext>
              </c:extLst>
            </c:dLbl>
            <c:dLbl>
              <c:idx val="14"/>
              <c:layout>
                <c:manualLayout>
                  <c:x val="0.14746097487658905"/>
                  <c:y val="-4.2077191129587813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2DC-4080-8BCF-9811D84D0CE8}"/>
                </c:ext>
              </c:extLst>
            </c:dLbl>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Open Sans Hebrew" panose="00000500000000000000" pitchFamily="2" charset="-79"/>
                    <a:ea typeface="+mn-ea"/>
                    <a:cs typeface="Open Sans Hebrew" panose="00000500000000000000" pitchFamily="2" charset="-79"/>
                  </a:defRPr>
                </a:pPr>
                <a:endParaRPr lang="LID4096"/>
              </a:p>
            </c:txPr>
            <c:dLblPos val="outEnd"/>
            <c:showLegendKey val="0"/>
            <c:showVal val="1"/>
            <c:showCatName val="1"/>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גיליון1!$D$21:$D$35</c:f>
              <c:strCache>
                <c:ptCount val="15"/>
                <c:pt idx="0">
                  <c:v>מדדים</c:v>
                </c:pt>
                <c:pt idx="1">
                  <c:v>קריפטו</c:v>
                </c:pt>
                <c:pt idx="2">
                  <c:v>טכנולוגיה</c:v>
                </c:pt>
                <c:pt idx="3">
                  <c:v>פיננסים</c:v>
                </c:pt>
                <c:pt idx="4">
                  <c:v>דיבידנדים</c:v>
                </c:pt>
                <c:pt idx="5">
                  <c:v>שבבים</c:v>
                </c:pt>
                <c:pt idx="6">
                  <c:v>חומרה</c:v>
                </c:pt>
                <c:pt idx="7">
                  <c:v>תשתיות מידע</c:v>
                </c:pt>
                <c:pt idx="8">
                  <c:v>טכנולוגיות קוונטיות</c:v>
                </c:pt>
                <c:pt idx="9">
                  <c:v>קמעונאות</c:v>
                </c:pt>
                <c:pt idx="10">
                  <c:v>שירותי תקשורת</c:v>
                </c:pt>
                <c:pt idx="11">
                  <c:v>תחבורה</c:v>
                </c:pt>
                <c:pt idx="12">
                  <c:v>בריאות</c:v>
                </c:pt>
                <c:pt idx="13">
                  <c:v>תרופות</c:v>
                </c:pt>
                <c:pt idx="14">
                  <c:v>נשק</c:v>
                </c:pt>
              </c:strCache>
            </c:strRef>
          </c:cat>
          <c:val>
            <c:numRef>
              <c:f>גיליון1!$C$21:$C$35</c:f>
              <c:numCache>
                <c:formatCode>0%</c:formatCode>
                <c:ptCount val="15"/>
                <c:pt idx="0">
                  <c:v>0.29528701434447113</c:v>
                </c:pt>
                <c:pt idx="1">
                  <c:v>7.3547156451181706E-2</c:v>
                </c:pt>
                <c:pt idx="2">
                  <c:v>0.18486595133070191</c:v>
                </c:pt>
                <c:pt idx="3">
                  <c:v>1.9133810841084002E-2</c:v>
                </c:pt>
                <c:pt idx="4">
                  <c:v>2.813406790796396E-2</c:v>
                </c:pt>
                <c:pt idx="5">
                  <c:v>1.4392524324507367E-2</c:v>
                </c:pt>
                <c:pt idx="6">
                  <c:v>1.1356688957693477E-2</c:v>
                </c:pt>
                <c:pt idx="7">
                  <c:v>3.4172353897784176E-2</c:v>
                </c:pt>
                <c:pt idx="8">
                  <c:v>3.8903411711890441E-2</c:v>
                </c:pt>
                <c:pt idx="9">
                  <c:v>0.11538629282485684</c:v>
                </c:pt>
                <c:pt idx="10">
                  <c:v>0.10717273179393247</c:v>
                </c:pt>
                <c:pt idx="11">
                  <c:v>2.8944703460339574E-2</c:v>
                </c:pt>
                <c:pt idx="12">
                  <c:v>2.5633650707482351E-2</c:v>
                </c:pt>
                <c:pt idx="13">
                  <c:v>1.4205796096431156E-2</c:v>
                </c:pt>
                <c:pt idx="14">
                  <c:v>8.8638453496792929E-3</c:v>
                </c:pt>
              </c:numCache>
            </c:numRef>
          </c:val>
          <c:extLst>
            <c:ext xmlns:c16="http://schemas.microsoft.com/office/drawing/2014/chart" uri="{C3380CC4-5D6E-409C-BE32-E72D297353CC}">
              <c16:uniqueId val="{00000001-12DC-4080-8BCF-9811D84D0CE8}"/>
            </c:ext>
          </c:extLst>
        </c:ser>
        <c:dLbls>
          <c:showLegendKey val="0"/>
          <c:showVal val="0"/>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Open Sans Hebrew" panose="00000500000000000000" pitchFamily="2" charset="-79"/>
              <a:ea typeface="+mn-ea"/>
              <a:cs typeface="Open Sans Hebrew" panose="00000500000000000000" pitchFamily="2" charset="-79"/>
            </a:defRPr>
          </a:pPr>
          <a:endParaRPr lang="LID4096"/>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Open Sans Hebrew" panose="00000500000000000000" pitchFamily="2" charset="-79"/>
          <a:cs typeface="Open Sans Hebrew" panose="00000500000000000000" pitchFamily="2" charset="-79"/>
        </a:defRPr>
      </a:pPr>
      <a:endParaRPr lang="LID4096"/>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30255</xdr:colOff>
      <xdr:row>38</xdr:row>
      <xdr:rowOff>32775</xdr:rowOff>
    </xdr:from>
    <xdr:to>
      <xdr:col>6</xdr:col>
      <xdr:colOff>66114</xdr:colOff>
      <xdr:row>57</xdr:row>
      <xdr:rowOff>165566</xdr:rowOff>
    </xdr:to>
    <xdr:graphicFrame macro="">
      <xdr:nvGraphicFramePr>
        <xdr:cNvPr id="7" name="תרשים 6">
          <a:extLst>
            <a:ext uri="{FF2B5EF4-FFF2-40B4-BE49-F238E27FC236}">
              <a16:creationId xmlns:a16="http://schemas.microsoft.com/office/drawing/2014/main" id="{D033C10B-7504-14BE-B28C-7A4C31BD1E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28">
  <rv s="0">
    <v>https://www.bing.com/financeapi/forcetrigger?t=c438im&amp;q=XNAS%3aIREN&amp;form=skydnc</v>
    <v>Learn more on Bing</v>
  </rv>
  <rv s="1">
    <v>en-US</v>
    <v>c438im</v>
    <v>268435456</v>
    <v>1</v>
    <v>Powered by Refinitiv</v>
    <v>0</v>
    <v>IREN LIMITED (XNAS:IREN)</v>
    <v>2</v>
    <v>3</v>
    <v>Finance</v>
    <v>4</v>
    <v>76.87</v>
    <v>5.125</v>
    <v>4.1813000000000002</v>
    <v>-9.4499999999999993</v>
    <v>2.8076E-2</v>
    <v>-0.12367499999999999</v>
    <v>1.88</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6, 55 Market Street, SYDNEY, NEW SOUTH WALES, 2000 AU</v>
    <v>75.790000000000006</v>
    <v>Financial Technology (Fintech) &amp; Infrastructure</v>
    <v>Stock</v>
    <v>45967.948625995312</v>
    <v>0</v>
    <v>66.67</v>
    <v>18211814280</v>
    <v>IREN LIMITED</v>
    <v>IREN LIMITED</v>
    <v>75.760000000000005</v>
    <v>171.69229999999999</v>
    <v>76.41</v>
    <v>66.959999999999994</v>
    <v>68.84</v>
    <v>271980500</v>
    <v>IREN</v>
    <v>IREN LIMITED (XNAS:IREN)</v>
    <v>51289532</v>
    <v>44380335</v>
    <v>2018</v>
  </rv>
  <rv s="2">
    <v>1</v>
  </rv>
  <rv s="3">
    <v>en-US</v>
    <v>avyoh7</v>
    <v>268435456</v>
    <v>1</v>
    <v>Powered by Refinitiv</v>
    <v>5</v>
    <v>USD/ILS</v>
    <v>6</v>
    <v>7</v>
    <v>Finance</v>
    <v>8</v>
    <v>3.8363</v>
    <v>3.2345000000000002</v>
    <v>2.7000000000000001E-3</v>
    <v>8.2890000000000004E-4</v>
    <v>ILS</v>
    <v>USD</v>
    <v>3.2610000000000001</v>
    <v>Currency Pair</v>
    <v>45967.948391203703</v>
    <v>3.2665999999999999</v>
    <v>US Dollar/Israeli Shekel FX Spot Rate</v>
    <v>3.2578</v>
    <v>3.2572000000000001</v>
    <v>3.2599</v>
    <v>USDILS</v>
    <v>USD/ILS</v>
  </rv>
  <rv s="2">
    <v>3</v>
  </rv>
  <rv s="0">
    <v>https://www.bing.com/financeapi/forcetrigger?t=a25dp2&amp;q=BATS%3aVIXY&amp;form=skydnc</v>
    <v>Learn more on Bing</v>
  </rv>
  <rv s="4">
    <v>en-US</v>
    <v>a25dp2</v>
    <v>268435456</v>
    <v>1</v>
    <v>Powered by Refinitiv</v>
    <v>9</v>
    <v>ProShs II:VIX ST Fut (BATS:VIXY)</v>
    <v>10</v>
    <v>11</v>
    <v>Finance</v>
    <v>12</v>
    <v>89.144900000000007</v>
    <v>30.96</v>
    <v>-2.4300000000000002</v>
    <v>1.4</v>
    <v>-2.9399999999999999E-4</v>
    <v>4.2945000000000004E-2</v>
    <v>-0.01</v>
    <v>USD</v>
    <v>CBOE BZX Exchange</v>
    <v>BATS</v>
    <v>1.09E-2</v>
    <v>34.49</v>
    <v>ETF</v>
    <v>45967.942817765623</v>
    <v>5</v>
    <v>32.74</v>
    <v>289864752.19</v>
    <v>ProShs II:VIX ST Fut</v>
    <v>32.909999999999997</v>
    <v>32.6</v>
    <v>34</v>
    <v>34</v>
    <v>VIXY</v>
    <v>ProShs II:VIX ST Fut (BATS:VIXY)</v>
    <v>4461757</v>
    <v>3428341</v>
  </rv>
  <rv s="2">
    <v>6</v>
  </rv>
  <rv s="0">
    <v>https://www.bing.com/financeapi/forcetrigger?t=a26dyc&amp;q=XNAS%3aYNDX&amp;form=skydnc</v>
    <v>Learn more on Bing</v>
  </rv>
  <rv s="1">
    <v>en-US</v>
    <v>a26dyc</v>
    <v>268435456</v>
    <v>1</v>
    <v>Powered by Refinitiv</v>
    <v>0</v>
    <v>Nebius Group NV (XNAS:NBIS)</v>
    <v>2</v>
    <v>3</v>
    <v>Finance</v>
    <v>4</v>
    <v>141.1</v>
    <v>17.385000000000002</v>
    <v>-13.231</v>
    <v>-7.56</v>
    <v>5.0260000000000001E-3</v>
    <v>-6.4615000000000006E-2</v>
    <v>0.55000000000000004</v>
    <v>USD</v>
    <v>Nebius Group NV is a Netherlands-based infrastructure company operating in the technology industry. The Company is engaged in developing a portfolio of artificial intelligence-related technology assets. It is involved in creating an artificial intelligence-centric player to integrate the essential elements of artificial intelligence development with infrastructure, data and advisory globally. It offers products and services such as a cloud platform for artificial intelligence-related workloads, development team services for autonomous vehicles, development of generative artificial intelligence. Nebius builds full-stack infrastructure to service the growth of the global AI industry, including GPU clusters, cloud platforms and tools and services for developers. Company is developing three other businesses that operate under their own brands: Toloka AI, TripleTen and Avride.</v>
    <v>1371</v>
    <v>Nasdaq Stock Market</v>
    <v>XNAS</v>
    <v>XNAS</v>
    <v>Gustav Mahlerlaan 300, AMSTERDAM, NOORD-HOLLAND, 1082 ME NL</v>
    <v>121</v>
    <v>Professional &amp; Commercial Services</v>
    <v>Stock</v>
    <v>45967.948572638285</v>
    <v>8</v>
    <v>108.41</v>
    <v>27484488000</v>
    <v>Nebius Group NV</v>
    <v>Nebius Group NV</v>
    <v>119.55</v>
    <v>98.311199999999999</v>
    <v>117</v>
    <v>109.44</v>
    <v>109.99</v>
    <v>251137500</v>
    <v>NBIS</v>
    <v>Nebius Group NV (XNAS:NBIS)</v>
    <v>17219286</v>
    <v>17466432</v>
    <v>2004</v>
  </rv>
  <rv s="2">
    <v>9</v>
  </rv>
  <rv s="5">
    <v>en-US</v>
    <v>cgblqh</v>
    <v>268435456</v>
    <v>1</v>
    <v>Powered by Refinitiv</v>
    <v>13</v>
    <v>COREWEAVE, INC. (XNAS:CRWV)</v>
    <v>14</v>
    <v>15</v>
    <v>Finance</v>
    <v>4</v>
    <v>187</v>
    <v>33.515000000000001</v>
    <v>2.1259999999999999</v>
    <v>-7.49</v>
    <v>-5.3309999999999998E-3</v>
    <v>-6.5461000000000005E-2</v>
    <v>-0.56999999999999995</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Nasdaq Stock Market</v>
    <v>XNAS</v>
    <v>XNAS</v>
    <v>290 W. Mt. Pleasant Avenue, Suite 4100, LIVINGSTON, NJ, 07039 US</v>
    <v>116.44</v>
    <v>Software &amp; IT Services</v>
    <v>Stock</v>
    <v>45967.948598066403</v>
    <v>104.1</v>
    <v>52941310325</v>
    <v>COREWEAVE, INC.</v>
    <v>COREWEAVE, INC.</v>
    <v>115.94</v>
    <v>0</v>
    <v>114.42</v>
    <v>106.93</v>
    <v>106.36</v>
    <v>495102500</v>
    <v>CRWV</v>
    <v>COREWEAVE, INC. (XNAS:CRWV)</v>
    <v>26016701</v>
    <v>23604464</v>
    <v>2017</v>
  </rv>
  <rv s="2">
    <v>11</v>
  </rv>
  <rv s="0">
    <v>https://www.bing.com/financeapi/forcetrigger?t=bwvem7&amp;q=XNAS%3aABNB&amp;form=skydnc</v>
    <v>Learn more on Bing</v>
  </rv>
  <rv s="1">
    <v>en-US</v>
    <v>bwvem7</v>
    <v>268435456</v>
    <v>1</v>
    <v>Powered by Refinitiv</v>
    <v>0</v>
    <v>AIRBNB, INC. (XNAS:ABNB)</v>
    <v>2</v>
    <v>3</v>
    <v>Finance</v>
    <v>4</v>
    <v>163.93</v>
    <v>99.88</v>
    <v>1.1142000000000001</v>
    <v>-1.97</v>
    <v>4.5101000000000002E-2</v>
    <v>-1.6081999999999999E-2</v>
    <v>5.4359999999999999</v>
    <v>USD</v>
    <v>Airbnb, Inc. operates a global platform for stays and experiences. The Company’s marketplace model connects hosts and guests online or through mobile devices to book spaces and experiences around the world. The Company has built its platform to onboard new hosts, especially those who previously had not considered hosting. It partners with hosts throughout the process of setting up their listing and provides them with a suite of tools to manage their listings, including scheduling, merchandising, integrated payments, community support, host protection, pricing guidance, and feedback from reviews. Its Website and mobile applications provide its guests with a way to explore a variety of homes and experiences and an easy way to book them. Its technology platform powers its two-sided marketplace and enables its global network of hosts and guests. It owns a trademark portfolio with protection in 220 countries in which it operates for its primary brands, AIRBNB, and its Belo logo.</v>
    <v>7300</v>
    <v>Nasdaq Stock Market</v>
    <v>XNAS</v>
    <v>XNAS</v>
    <v>888 Brannan St., SAN FRANCISCO, CA, 94103 US</v>
    <v>123.39</v>
    <v>Software &amp; IT Services</v>
    <v>Stock</v>
    <v>45967.948347407029</v>
    <v>13</v>
    <v>119.82</v>
    <v>74901644921</v>
    <v>AIRBNB, INC.</v>
    <v>AIRBNB, INC.</v>
    <v>122.38</v>
    <v>29.1861</v>
    <v>122.5</v>
    <v>120.53</v>
    <v>125.96599999999999</v>
    <v>621435700</v>
    <v>ABNB</v>
    <v>AIRBNB, INC. (XNAS:ABNB)</v>
    <v>9797067</v>
    <v>4436308</v>
    <v>2008</v>
  </rv>
  <rv s="2">
    <v>14</v>
  </rv>
  <rv s="0">
    <v>https://www.bing.com/financeapi/forcetrigger?t=a21icw&amp;q=XNAS%3aPYPL&amp;form=skydnc</v>
    <v>Learn more on Bing</v>
  </rv>
  <rv s="1">
    <v>en-US</v>
    <v>a21icw</v>
    <v>268435456</v>
    <v>1</v>
    <v>Powered by Refinitiv</v>
    <v>0</v>
    <v>PAYPAL HOLDINGS, INC. (XNAS:PYPL)</v>
    <v>2</v>
    <v>3</v>
    <v>Finance</v>
    <v>4</v>
    <v>93.66</v>
    <v>55.85</v>
    <v>1.4293</v>
    <v>-1.8</v>
    <v>4.528E-4</v>
    <v>-2.6446999999999998E-2</v>
    <v>0.03</v>
    <v>USD</v>
    <v>PayPal Holdings, Inc. offers a technology platform. The Company’s products are designed to enable digital payments and simplify commerce experiences for consumers and merchants to make selling, shopping, and sending and receiving money simple, personalized, and secure, online or offline, including mobile. It provides consumers with a digital wallet that enables them to send payments to merchants securely using a variety of funding sources, which include a bank account, a PayPal or Venmo account balance, its consumer credit products, a credit card, a debit card, certain cryptocurrencies, or other stored value products. It operates a global, two-sided network at scale that connects consumers and merchants with 434 million active accounts across approximately 200 markets. Its brands include PayPal, Braintree, Venmo, Xoom, Hyperwallet, PayPal Zettle, PayPal Honey, and Paidy. It offers financing products through the PayPal Working Capital (PPWC) and PayPal Business Loan (PPBL).</v>
    <v>24400</v>
    <v>Nasdaq Stock Market</v>
    <v>XNAS</v>
    <v>XNAS</v>
    <v>2211 N 1st St, SAN JOSE, CA, 95131 US</v>
    <v>68.069999999999993</v>
    <v>Professional &amp; Commercial Services</v>
    <v>Stock</v>
    <v>45967.948615346875</v>
    <v>16</v>
    <v>66.209999999999994</v>
    <v>61996301520</v>
    <v>PAYPAL HOLDINGS, INC.</v>
    <v>PAYPAL HOLDINGS, INC.</v>
    <v>67.8</v>
    <v>13.648300000000001</v>
    <v>68.06</v>
    <v>66.260000000000005</v>
    <v>66.290000000000006</v>
    <v>935652000</v>
    <v>PYPL</v>
    <v>PAYPAL HOLDINGS, INC. (XNAS:PYPL)</v>
    <v>11441962</v>
    <v>19042508</v>
    <v>2015</v>
  </rv>
  <rv s="2">
    <v>17</v>
  </rv>
  <rv s="0">
    <v>https://www.bing.com/financeapi/forcetrigger?t=c2mtww&amp;q=XNAS%3aHOOD&amp;form=skydnc</v>
    <v>Learn more on Bing</v>
  </rv>
  <rv s="1">
    <v>en-US</v>
    <v>c2mtww</v>
    <v>268435456</v>
    <v>1</v>
    <v>Powered by Refinitiv</v>
    <v>0</v>
    <v>ROBINHOOD MARKETS, INC. (XNAS:HOOD)</v>
    <v>2</v>
    <v>3</v>
    <v>Finance</v>
    <v>4</v>
    <v>153.85990000000001</v>
    <v>26.74</v>
    <v>2.4270999999999998</v>
    <v>-15.4</v>
    <v>1.023E-2</v>
    <v>-0.108085</v>
    <v>1.3</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2300</v>
    <v>Nasdaq Stock Market</v>
    <v>XNAS</v>
    <v>XNAS</v>
    <v>85 Willow Road, MENLO PARK, CA, 94025 US</v>
    <v>140.16</v>
    <v>Financial Technology (Fintech) &amp; Infrastructure</v>
    <v>Stock</v>
    <v>45967.948630392966</v>
    <v>19</v>
    <v>126.15</v>
    <v>112932831708</v>
    <v>ROBINHOOD MARKETS, INC.</v>
    <v>ROBINHOOD MARKETS, INC.</v>
    <v>140</v>
    <v>63.074399999999997</v>
    <v>142.47999999999999</v>
    <v>127.08</v>
    <v>128.38</v>
    <v>888675100</v>
    <v>HOOD</v>
    <v>ROBINHOOD MARKETS, INC. (XNAS:HOOD)</v>
    <v>50208673</v>
    <v>26090005</v>
    <v>2013</v>
  </rv>
  <rv s="2">
    <v>20</v>
  </rv>
  <rv s="0">
    <v>https://www.bing.com/financeapi/forcetrigger?t=a1ndww&amp;q=XNAS%3aAMD&amp;form=skydnc</v>
    <v>Learn more on Bing</v>
  </rv>
  <rv s="1">
    <v>en-US</v>
    <v>a1ndww</v>
    <v>268435456</v>
    <v>1</v>
    <v>Powered by Refinitiv</v>
    <v>0</v>
    <v>ADVANCED MICRO DEVICES, INC. (XNAS:AMD)</v>
    <v>2</v>
    <v>3</v>
    <v>Finance</v>
    <v>4</v>
    <v>267.07990000000001</v>
    <v>76.48</v>
    <v>1.9111</v>
    <v>-18.63</v>
    <v>2.1029999999999999E-4</v>
    <v>-7.2679999999999995E-2</v>
    <v>0.05</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28000</v>
    <v>Nasdaq Stock Market</v>
    <v>XNAS</v>
    <v>XNAS</v>
    <v>2485 Augustine Drive, SANTA CLARA, CA, 95054 US</v>
    <v>253.51</v>
    <v>Semiconductors &amp; Semiconductor Equipment</v>
    <v>Stock</v>
    <v>45967.948614825778</v>
    <v>22</v>
    <v>235.74</v>
    <v>385750018800</v>
    <v>ADVANCED MICRO DEVICES, INC.</v>
    <v>ADVANCED MICRO DEVICES, INC.</v>
    <v>253.465</v>
    <v>124.0346</v>
    <v>256.33</v>
    <v>237.7</v>
    <v>237.75</v>
    <v>1622844000</v>
    <v>AMD</v>
    <v>ADVANCED MICRO DEVICES, INC. (XNAS:AMD)</v>
    <v>65808342</v>
    <v>75201686</v>
    <v>1969</v>
  </rv>
  <rv s="2">
    <v>23</v>
  </rv>
  <rv s="0">
    <v>https://www.bing.com/financeapi/forcetrigger?t=bvsk7w&amp;q=XNYS%3aPLTR&amp;form=skydnc</v>
    <v>Learn more on Bing</v>
  </rv>
  <rv s="1">
    <v>en-US</v>
    <v>bvsk7w</v>
    <v>268435456</v>
    <v>1</v>
    <v>Powered by Refinitiv</v>
    <v>0</v>
    <v>PALANTIR TECHNOLOGIES INC. (XNAS:PLTR)</v>
    <v>2</v>
    <v>3</v>
    <v>Finance</v>
    <v>4</v>
    <v>207.52</v>
    <v>51.61</v>
    <v>1.4912000000000001</v>
    <v>-12.85</v>
    <v>2.856E-3</v>
    <v>-6.8387000000000003E-2</v>
    <v>0.5</v>
    <v>USD</v>
    <v>Palantir Technologies Inc. is engaged in building software to assist in counterterrorism investigations and operations. The Company has built four principal software platforms, including Palantir Gotham (Gotham), Palantir Foundry (Foundry), Palantir Apollo (Apollo), and Palantir Artificial Intelligence Platform (AIP). Apollo is a cloud-agnostic, single control layer that coordinates ongoing delivery of new features, security updates, and platform configurations, helping to ensure the continuous operation of critical systems. Gotham enables users to identify patterns hidden deep within datasets, ranging from signals intelligence sources to reports from confidential informants. Foundry transforms the ways organizations operate by creating a central operating system for their data. AIP enables responsible artificial intelligence (AI)-advantage across the enterprise by using primary, core components built to effectively activate large language models and other AI within any organization.</v>
    <v>4414</v>
    <v>Nasdaq Stock Market</v>
    <v>XNAS</v>
    <v>XNAS</v>
    <v>1200 17Th Street, Floor 15, DENVER, CO, 80202 US</v>
    <v>191.09</v>
    <v>Software &amp; IT Services</v>
    <v>Stock</v>
    <v>45967.948659374997</v>
    <v>25</v>
    <v>174.53</v>
    <v>415102541850</v>
    <v>PALANTIR TECHNOLOGIES INC.</v>
    <v>PALANTIR TECHNOLOGIES INC.</v>
    <v>187.99</v>
    <v>409.37790000000001</v>
    <v>187.9</v>
    <v>175.05</v>
    <v>175.55</v>
    <v>2371337000</v>
    <v>PLTR</v>
    <v>PALANTIR TECHNOLOGIES INC. (XNAS:PLTR)</v>
    <v>78048373</v>
    <v>52836431</v>
    <v>2003</v>
  </rv>
  <rv s="2">
    <v>26</v>
  </rv>
  <rv s="0">
    <v>https://www.bing.com/financeapi/forcetrigger?t=a1qc1h&amp;q=XNYS%3aCRM&amp;form=skydnc</v>
    <v>Learn more on Bing</v>
  </rv>
  <rv s="1">
    <v>en-US</v>
    <v>a1qc1h</v>
    <v>268435456</v>
    <v>1</v>
    <v>Powered by Refinitiv</v>
    <v>0</v>
    <v>SALESFORCE, INC. (XNYS:CRM)</v>
    <v>2</v>
    <v>3</v>
    <v>Finance</v>
    <v>4</v>
    <v>369</v>
    <v>226.48</v>
    <v>1.2441</v>
    <v>-13.24</v>
    <v>0</v>
    <v>-5.2398E-2</v>
    <v>0</v>
    <v>USD</v>
    <v>Salesforce, Inc. is a provider of customer relationship management (CRM) technology. The Company helps organizations of any size reimagine their business for the world of artificial intelligence (AI). With Agentforce, its platform, organizations can bring humans together with AI agents to drive customer success on one deeply unified platform. With the Salesforce platform, it delivers a single source of truth, connecting customer data with integrated AI across systems, apps and devices to help companies sell, service, market and conduct commerce from anywhere. Agentforce is a new layer of the Salesforce platform that enables companies to build and deploy AI agents that can respond to inputs, make decisions and take action autonomously across business functions. Agentforce includes a suite of customizable agents for use across sales, service, marketing and commerce. Datablazer is a data-driven innovator, which leverages the Company’s platform to unlock insights and drive decisions.</v>
    <v>76453</v>
    <v>New York Stock Exchange</v>
    <v>XNYS</v>
    <v>XNYS</v>
    <v>SALESFORCE TOWER, 415 MISSION STREET 3RD FL, SAN FRANCISCO, CA, 94105 US</v>
    <v>250.535</v>
    <v>Software &amp; IT Services</v>
    <v>Stock</v>
    <v>45967.948642060153</v>
    <v>28</v>
    <v>234.48</v>
    <v>227946880000</v>
    <v>SALESFORCE, INC.</v>
    <v>SALESFORCE, INC.</v>
    <v>250.535</v>
    <v>34.743699999999997</v>
    <v>252.68</v>
    <v>239.44</v>
    <v>239.27</v>
    <v>952000000</v>
    <v>CRM</v>
    <v>SALESFORCE, INC. (XNYS:CRM)</v>
    <v>11027476</v>
    <v>8827705</v>
    <v>1999</v>
  </rv>
  <rv s="2">
    <v>29</v>
  </rv>
  <rv s="0">
    <v>https://www.bing.com/financeapi/forcetrigger?t=ao7ia2&amp;q=XLON%3aCSPX&amp;form=skydnc</v>
    <v>Learn more on Bing</v>
  </rv>
  <rv s="6">
    <v>en-US</v>
    <v>ao7ia2</v>
    <v>268435456</v>
    <v>1</v>
    <v>Powered by Refinitiv</v>
    <v>16</v>
    <v>iShs Cr S&amp;P 500 ETF USD A (XLON:CSPX)</v>
    <v>10</v>
    <v>17</v>
    <v>Finance</v>
    <v>18</v>
    <v>800</v>
    <v>268.77999999999997</v>
    <v>0.99970000000000003</v>
    <v>-8.4700000000000006</v>
    <v>-1.1636000000000001E-2</v>
    <v>USD</v>
    <v>London Stock Exchange</v>
    <v>XLON</v>
    <v>7.000000000000001E-4</v>
    <v>729.15</v>
    <v>ETF</v>
    <v>45967.75655731406</v>
    <v>31</v>
    <v>719.25</v>
    <v>135221267082.78999</v>
    <v>iShs Cr S&amp;P 500 ETF USD A</v>
    <v>725.48</v>
    <v>727.94</v>
    <v>719.47</v>
    <v>CSPX</v>
    <v>iShs Cr S&amp;P 500 ETF USD A (XLON:CSPX)</v>
    <v>121260</v>
  </rv>
  <rv s="2">
    <v>32</v>
  </rv>
  <rv s="0">
    <v>https://www.bing.com/financeapi/forcetrigger?t=bptw77&amp;q=XNYS%3aUBER&amp;form=skydnc</v>
    <v>Learn more on Bing</v>
  </rv>
  <rv s="1">
    <v>en-US</v>
    <v>bptw77</v>
    <v>268435456</v>
    <v>1</v>
    <v>Powered by Refinitiv</v>
    <v>0</v>
    <v>UBER TECHNOLOGIES, INC. (XNYS:UBER)</v>
    <v>2</v>
    <v>3</v>
    <v>Finance</v>
    <v>4</v>
    <v>101.99</v>
    <v>59.33</v>
    <v>1.1880999999999999</v>
    <v>-0.59</v>
    <v>1.086E-4</v>
    <v>-6.3610000000000003E-3</v>
    <v>0.01</v>
    <v>USD</v>
    <v>Uber Technologies, Inc. operates a technology platform that uses network and technology to power movement from point A to point B. It develops and operates technology applications supporting a variety of offerings on its platform (platform(s)). Its segments include Mobility, Delivery and Freight. Mobility products connect consumers with drivers who provide rides in a variety of vehicles, such as cars, auto rickshaws, motorbikes, minibuses, or taxis. Delivery offerings allow consumers to search for and discover local restaurants, order a meal, and either pick-up at the restaurant or have the meal delivered. In certain markets, the Delivery segment provides offerings for grocery, alcohol, and convenience store delivery as well as select other goods. The Freight segment connects carriers with shippers on its platform, and gives carriers upfront, pricing and the ability to book a shipment. The Freight segment also includes transportation management and other logistics service offerings.</v>
    <v>31100</v>
    <v>New York Stock Exchange</v>
    <v>XNYS</v>
    <v>XNYS</v>
    <v>1725 3Rd Street, SAN FRANCISCO, CA, 94158 US</v>
    <v>92.77</v>
    <v>Software &amp; IT Services</v>
    <v>Stock</v>
    <v>45967.948560231249</v>
    <v>34</v>
    <v>90.82</v>
    <v>192718800000</v>
    <v>UBER TECHNOLOGIES, INC.</v>
    <v>UBER TECHNOLOGIES, INC.</v>
    <v>92</v>
    <v>11.8066</v>
    <v>92.75</v>
    <v>92.16</v>
    <v>92.13</v>
    <v>2077830000</v>
    <v>UBER</v>
    <v>UBER TECHNOLOGIES, INC. (XNYS:UBER)</v>
    <v>18296438</v>
    <v>16115148</v>
    <v>2010</v>
  </rv>
  <rv s="2">
    <v>35</v>
  </rv>
  <rv s="0">
    <v>https://www.bing.com/financeapi/forcetrigger?t=c53sz2&amp;q=XTAE%3aIN.FF1&amp;form=skydnc</v>
    <v>Learn more on Bing</v>
  </rv>
  <rv s="7">
    <v>en-US</v>
    <v>c53sz2</v>
    <v>268435456</v>
    <v>1</v>
    <v>Powered by Refinitiv</v>
    <v>19</v>
    <v>INVS&amp;P500UCITSETFAcc (XTAE:IN.FF1)</v>
    <v>10</v>
    <v>20</v>
    <v>Finance</v>
    <v>21</v>
    <v>-700</v>
    <v>-1.586E-3</v>
    <v>ILa</v>
    <v>Tel Aviv Stock Exchange</v>
    <v>XTAE</v>
    <v>5.0000000000000001E-4</v>
    <v>442600</v>
    <v>ETF</v>
    <v>45967.642314814817</v>
    <v>37</v>
    <v>439400</v>
    <v>49617615748</v>
    <v>INVS&amp;P500UCITSETFAcc</v>
    <v>440900</v>
    <v>441300</v>
    <v>440600</v>
    <v>IN.FF1</v>
    <v>INVS&amp;P500UCITSETFAcc (XTAE:IN.FF1)</v>
    <v>1763</v>
  </rv>
  <rv s="2">
    <v>38</v>
  </rv>
  <rv s="0">
    <v>https://www.bing.com/financeapi/forcetrigger?t=a1yv52&amp;q=XNAS%3aNVDA&amp;form=skydnc</v>
    <v>Learn more on Bing</v>
  </rv>
  <rv s="1">
    <v>en-US</v>
    <v>a1yv52</v>
    <v>268435456</v>
    <v>1</v>
    <v>Powered by Refinitiv</v>
    <v>0</v>
    <v>NVIDIA CORPORATION (XNAS:NVDA)</v>
    <v>2</v>
    <v>3</v>
    <v>Finance</v>
    <v>4</v>
    <v>212.18989999999999</v>
    <v>86.62</v>
    <v>2.2766000000000002</v>
    <v>-7.13</v>
    <v>3.4560000000000003E-3</v>
    <v>-3.6525000000000002E-2</v>
    <v>0.65</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197.62</v>
    <v>Semiconductors &amp; Semiconductor Equipment</v>
    <v>Stock</v>
    <v>45967.948642580472</v>
    <v>40</v>
    <v>186.38</v>
    <v>4570344000000</v>
    <v>NVIDIA CORPORATION</v>
    <v>NVIDIA CORPORATION</v>
    <v>196.42</v>
    <v>53.530700000000003</v>
    <v>195.21</v>
    <v>188.08</v>
    <v>188.73</v>
    <v>24300000000</v>
    <v>NVDA</v>
    <v>NVIDIA CORPORATION (XNAS:NVDA)</v>
    <v>221979910</v>
    <v>175908370</v>
    <v>1998</v>
  </rv>
  <rv s="2">
    <v>41</v>
  </rv>
  <rv s="0">
    <v>https://www.bing.com/financeapi/forcetrigger?t=a21mim&amp;q=XNAS%3aQQQ&amp;form=skydnc</v>
    <v>Learn more on Bing</v>
  </rv>
  <rv s="4">
    <v>en-US</v>
    <v>a21mim</v>
    <v>268435456</v>
    <v>1</v>
    <v>Powered by Refinitiv</v>
    <v>9</v>
    <v>Invesco QQQ Trust 1 (XNAS:QQQ)</v>
    <v>10</v>
    <v>11</v>
    <v>Finance</v>
    <v>12</v>
    <v>637.01</v>
    <v>402.39</v>
    <v>1.0345</v>
    <v>-11.61</v>
    <v>1.684E-3</v>
    <v>-1.8627000000000001E-2</v>
    <v>1.03</v>
    <v>USD</v>
    <v>Nasdaq Stock Market</v>
    <v>XNAS</v>
    <v>2E-3</v>
    <v>622.04</v>
    <v>ETF</v>
    <v>45967.948541596874</v>
    <v>43</v>
    <v>610.29999999999995</v>
    <v>410761982134.84003</v>
    <v>Invesco QQQ Trust 1</v>
    <v>621.79</v>
    <v>623.28</v>
    <v>611.66999999999996</v>
    <v>612.70000000000005</v>
    <v>QQQ</v>
    <v>Invesco QQQ Trust 1 (XNAS:QQQ)</v>
    <v>71582317</v>
    <v>57107302</v>
  </rv>
  <rv s="2">
    <v>44</v>
  </rv>
  <rv s="8">
    <v>en-US</v>
    <v>cdur9c</v>
    <v>268435456</v>
    <v>1</v>
    <v>Powered by Refinitiv</v>
    <v>22</v>
    <v>SHOPIFY INC. (NEOE:SHOP)</v>
    <v>14</v>
    <v>23</v>
    <v>Finance</v>
    <v>21</v>
    <v>253</v>
    <v>99.56</v>
    <v>2.8271999999999999</v>
    <v>-10.119999999999999</v>
    <v>-4.3935000000000002E-2</v>
    <v>CAD</v>
    <v>Shopify Inc. (Shopify) is a Canada-based global commerce company. The Company provides essential Internet infrastructure for commerce, offering tools to start, grow, market and manage a retail business of any size. It provides platforms and services that are engineered and delivers a shopping experience for consumers online, in store and everywhere in between. Its software enables merchants to run their business across all of their sales channels, including Web and mobile storefronts, physical retail locations, social media storefronts, and marketplaces. The Company's Shopify platform provides merchants with a single view of their business across all of their sales channels and enables them to manage products and inventory, process orders and payments, fulfill and ship orders, build customer relationships, source products, leverage analytics and reporting, and access financing, all from one integrated back office. The Shopify's platform operates across 175 countries.</v>
    <v>8100</v>
    <v>NEO Exchange</v>
    <v>NEOE</v>
    <v>NEOE</v>
    <v>151 O'connor Street, Ground Floor, OTTAWA, ON, K2P 2L8 CA</v>
    <v>229.67</v>
    <v>Software &amp; IT Services</v>
    <v>Stock</v>
    <v>45967.874941955466</v>
    <v>220.22</v>
    <v>212096300000</v>
    <v>SHOPIFY INC.</v>
    <v>SHOPIFY INC.</v>
    <v>227.71</v>
    <v>230.34</v>
    <v>220.22</v>
    <v>1301843000</v>
    <v>SHOP</v>
    <v>SHOPIFY INC. (NEOE:SHOP)</v>
    <v>25500</v>
    <v>9974910</v>
    <v>2004</v>
  </rv>
  <rv s="2">
    <v>46</v>
  </rv>
  <rv s="0">
    <v>https://www.bing.com/financeapi/forcetrigger?t=a24kjc&amp;q=XNYS%3aTSM&amp;form=skydnc</v>
    <v>Learn more on Bing</v>
  </rv>
  <rv s="1">
    <v>en-US</v>
    <v>a24kjc</v>
    <v>268435456</v>
    <v>1</v>
    <v>Powered by Refinitiv</v>
    <v>0</v>
    <v>Taiwan Semiconductor Manufacturing Co., Ltd. (XNYS:TSM)</v>
    <v>2</v>
    <v>3</v>
    <v>Finance</v>
    <v>4</v>
    <v>311.36849999999998</v>
    <v>134.25</v>
    <v>1.3115000000000001</v>
    <v>-4.4400000000000004</v>
    <v>1.5210000000000002E-3</v>
    <v>-1.5121000000000001E-2</v>
    <v>0.44</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294.64</v>
    <v>Semiconductors &amp; Semiconductor Equipment</v>
    <v>Stock</v>
    <v>45967.948309142972</v>
    <v>48</v>
    <v>287.3811</v>
    <v>1224661000000</v>
    <v>Taiwan Semiconductor Manufacturing Co., Ltd.</v>
    <v>Taiwan Semiconductor Manufacturing Co., Ltd.</v>
    <v>294.10000000000002</v>
    <v>28.7773</v>
    <v>293.64</v>
    <v>289.2</v>
    <v>289.68</v>
    <v>5186523000</v>
    <v>TSM</v>
    <v>Taiwan Semiconductor Manufacturing Co., Ltd. (XNYS:TSM)</v>
    <v>11438453</v>
    <v>14593897</v>
    <v>1987</v>
  </rv>
  <rv s="2">
    <v>49</v>
  </rv>
  <rv s="9">
    <v>en-US</v>
    <v>cc5pdm</v>
    <v>268435456</v>
    <v>1</v>
    <v>Powered by Refinitiv</v>
    <v>24</v>
    <v>iShares Bitcoin Trust (XNAS:IBIT)</v>
    <v>6</v>
    <v>25</v>
    <v>Finance</v>
    <v>12</v>
    <v>71.819999999999993</v>
    <v>41.86</v>
    <v>-1.66</v>
    <v>2.7629999999999998E-3</v>
    <v>-2.8174000000000001E-2</v>
    <v>0.15820000000000001</v>
    <v>USD</v>
    <v>Nasdaq Stock Market</v>
    <v>XNAS</v>
    <v>2.2000000000000001E-3</v>
    <v>58.41</v>
    <v>ETF</v>
    <v>45967.948122441405</v>
    <v>56.904400000000003</v>
    <v>88008183327.899994</v>
    <v>iShares Bitcoin Trust</v>
    <v>58.4</v>
    <v>58.92</v>
    <v>57.26</v>
    <v>57.418199999999999</v>
    <v>IBIT</v>
    <v>iShares Bitcoin Trust (XNAS:IBIT)</v>
    <v>54479120</v>
    <v>66645514</v>
  </rv>
  <rv s="2">
    <v>51</v>
  </rv>
  <rv s="9">
    <v>en-US</v>
    <v>ce8mrw</v>
    <v>268435456</v>
    <v>1</v>
    <v>Powered by Refinitiv</v>
    <v>24</v>
    <v>iShares Ethereum Trust (XNAS:ETHA)</v>
    <v>6</v>
    <v>25</v>
    <v>Finance</v>
    <v>12</v>
    <v>36.799999999999997</v>
    <v>10.99</v>
    <v>-1.08</v>
    <v>-2E-3</v>
    <v>-4.1410999999999996E-2</v>
    <v>-0.05</v>
    <v>USD</v>
    <v>Nasdaq Stock Market</v>
    <v>XNAS</v>
    <v>1.1999999999999999E-3</v>
    <v>25.454999999999998</v>
    <v>ETF</v>
    <v>45967.948617592185</v>
    <v>24.52</v>
    <v>15490426828.75</v>
    <v>iShares Ethereum Trust</v>
    <v>25.43</v>
    <v>26.08</v>
    <v>25</v>
    <v>24.95</v>
    <v>ETHA</v>
    <v>iShares Ethereum Trust (XNAS:ETHA)</v>
    <v>44065138</v>
    <v>57595278</v>
  </rv>
  <rv s="2">
    <v>53</v>
  </rv>
  <rv s="9">
    <v>en-US</v>
    <v>cg9ar7</v>
    <v>268435456</v>
    <v>1</v>
    <v>Powered by Refinitiv</v>
    <v>24</v>
    <v>Solana (XNAS:SOLZ)</v>
    <v>6</v>
    <v>25</v>
    <v>Finance</v>
    <v>12</v>
    <v>27.12</v>
    <v>11.55</v>
    <v>-0.79949999999999999</v>
    <v>5.9040000000000004E-4</v>
    <v>-4.7336000000000003E-2</v>
    <v>9.4999999999999998E-3</v>
    <v>USD</v>
    <v>Nasdaq Stock Market</v>
    <v>XNAS</v>
    <v>9.4999999999999998E-3</v>
    <v>16.520199999999999</v>
    <v>ETF</v>
    <v>45967.941790289064</v>
    <v>15.98</v>
    <v>210216833.37</v>
    <v>Solana</v>
    <v>16.52</v>
    <v>16.89</v>
    <v>16.090499999999999</v>
    <v>16.100000000000001</v>
    <v>SOLZ</v>
    <v>Solana (XNAS:SOLZ)</v>
    <v>948694</v>
    <v>1863657</v>
  </rv>
  <rv s="2">
    <v>55</v>
  </rv>
  <rv s="0">
    <v>https://www.bing.com/financeapi/forcetrigger?t=a1nhlh&amp;q=XNAS%3aAMZN&amp;form=skydnc</v>
    <v>Learn more on Bing</v>
  </rv>
  <rv s="1">
    <v>en-US</v>
    <v>a1nhlh</v>
    <v>268435456</v>
    <v>1</v>
    <v>Powered by Refinitiv</v>
    <v>0</v>
    <v>AMAZON.COM, INC. (XNAS:AMZN)</v>
    <v>2</v>
    <v>3</v>
    <v>Finance</v>
    <v>4</v>
    <v>258.60000000000002</v>
    <v>161.38</v>
    <v>1.3612</v>
    <v>-7.16</v>
    <v>1.9750000000000002E-3</v>
    <v>-2.8617E-2</v>
    <v>0.48</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250.38</v>
    <v>Diversified Retail</v>
    <v>Stock</v>
    <v>45967.948643008596</v>
    <v>57</v>
    <v>242.17</v>
    <v>2674692000000</v>
    <v>AMAZON.COM, INC.</v>
    <v>AMAZON.COM, INC.</v>
    <v>249.155</v>
    <v>35.344200000000001</v>
    <v>250.2</v>
    <v>243.04</v>
    <v>243.52</v>
    <v>10690220000</v>
    <v>AMZN</v>
    <v>AMAZON.COM, INC. (XNAS:AMZN)</v>
    <v>44940225</v>
    <v>53643910</v>
    <v>1996</v>
  </rv>
  <rv s="2">
    <v>58</v>
  </rv>
  <rv s="0">
    <v>http://en.wikipedia.org/wiki/Public_domain</v>
    <v>Public domain</v>
  </rv>
  <rv s="0">
    <v>https://en.wikipedia.org/wiki/Microsoft</v>
    <v>Wikipedia</v>
  </rv>
  <rv s="10">
    <v>60</v>
    <v>61</v>
  </rv>
  <rv s="11">
    <v>30</v>
    <v>https://www.bing.com/th?id=AMMS_e6e837c7bf3a77408619758b7447855a&amp;qlt=95</v>
    <v>62</v>
    <v>0</v>
    <v>https://www.bing.com/images/search?form=xlimg&amp;q=microsoft</v>
    <v>Image of MICROSOFT CORPORATION</v>
  </rv>
  <rv s="0">
    <v>https://www.bing.com/financeapi/forcetrigger?t=a1xzim&amp;q=XNAS%3aMSFT&amp;form=skydnc</v>
    <v>Learn more on Bing</v>
  </rv>
  <rv s="12">
    <v>en-US</v>
    <v>a1xzim</v>
    <v>268435456</v>
    <v>1</v>
    <v>Powered by Refinitiv</v>
    <v>26</v>
    <v>MICROSOFT CORPORATION (XNAS:MSFT)</v>
    <v>28</v>
    <v>29</v>
    <v>Finance</v>
    <v>4</v>
    <v>555.45000000000005</v>
    <v>344.79</v>
    <v>1.0679000000000001</v>
    <v>-10.06</v>
    <v>8.0469999999999999E-4</v>
    <v>-1.9835999999999999E-2</v>
    <v>0.4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505.7</v>
    <v>63</v>
    <v>Software &amp; IT Services</v>
    <v>Stock</v>
    <v>45967.948577291405</v>
    <v>64</v>
    <v>495.81</v>
    <v>3694634606700</v>
    <v>MICROSOFT CORPORATION</v>
    <v>MICROSOFT CORPORATION</v>
    <v>505.66</v>
    <v>36.082999999999998</v>
    <v>507.16</v>
    <v>497.1</v>
    <v>497.5</v>
    <v>7432377000</v>
    <v>MSFT</v>
    <v>MICROSOFT CORPORATION (XNAS:MSFT)</v>
    <v>27335559</v>
    <v>20486899</v>
    <v>1993</v>
  </rv>
  <rv s="2">
    <v>65</v>
  </rv>
  <rv s="0">
    <v>https://www.bing.com/financeapi/forcetrigger?t=a1u3rw&amp;q=XNAS%3aGOOGL&amp;form=skydnc</v>
    <v>Learn more on Bing</v>
  </rv>
  <rv s="1">
    <v>en-US</v>
    <v>a1u3rw</v>
    <v>268435456</v>
    <v>1</v>
    <v>Powered by Refinitiv</v>
    <v>0</v>
    <v>ALPHABET INC. (XNAS:GOOGL)</v>
    <v>2</v>
    <v>3</v>
    <v>Finance</v>
    <v>4</v>
    <v>291.58999999999997</v>
    <v>140.53</v>
    <v>1.0806</v>
    <v>0.44</v>
    <v>7.3749999999999998E-4</v>
    <v>1.5479999999999999E-3</v>
    <v>0.21</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190167</v>
    <v>Nasdaq Stock Market</v>
    <v>XNAS</v>
    <v>XNAS</v>
    <v>1600 Amphitheatre Parkway, MOUNTAIN VIEW, CA, 94043 US</v>
    <v>288.35000000000002</v>
    <v>Software &amp; IT Services</v>
    <v>Stock</v>
    <v>45967.948350289065</v>
    <v>67</v>
    <v>281.14</v>
    <v>3433148000000</v>
    <v>ALPHABET INC.</v>
    <v>ALPHABET INC.</v>
    <v>285.33</v>
    <v>28.0794</v>
    <v>284.31</v>
    <v>284.75</v>
    <v>284.95999999999998</v>
    <v>12067000000</v>
    <v>GOOGL</v>
    <v>ALPHABET INC. (XNAS:GOOGL)</v>
    <v>37096992</v>
    <v>31551689</v>
    <v>2015</v>
  </rv>
  <rv s="2">
    <v>68</v>
  </rv>
  <rv s="0">
    <v>https://www.bing.com/financeapi/forcetrigger?t=a1slm7&amp;q=XNAS%3aMETA&amp;form=skydnc</v>
    <v>Learn more on Bing</v>
  </rv>
  <rv s="1">
    <v>en-US</v>
    <v>a1slm7</v>
    <v>268435456</v>
    <v>1</v>
    <v>Powered by Refinitiv</v>
    <v>0</v>
    <v>Meta Platforms, Inc. (XNAS:META)</v>
    <v>2</v>
    <v>3</v>
    <v>Finance</v>
    <v>4</v>
    <v>796.25</v>
    <v>479.8</v>
    <v>1.2743</v>
    <v>-17.010000000000002</v>
    <v>1.2280000000000001E-3</v>
    <v>-2.6747E-2</v>
    <v>0.76</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78450</v>
    <v>Nasdaq Stock Market</v>
    <v>XNAS</v>
    <v>XNAS</v>
    <v>1 Meta Way, MENLO PARK, CA, 94025 US</v>
    <v>636</v>
    <v>Software &amp; IT Services</v>
    <v>Stock</v>
    <v>45967.948508228903</v>
    <v>70</v>
    <v>618</v>
    <v>1560055600320</v>
    <v>Meta Platforms, Inc.</v>
    <v>Meta Platforms, Inc.</v>
    <v>635.85</v>
    <v>21.2941</v>
    <v>635.95000000000005</v>
    <v>618.94000000000005</v>
    <v>619.70000000000005</v>
    <v>2520528000</v>
    <v>META</v>
    <v>Meta Platforms, Inc. (XNAS:META)</v>
    <v>23515878</v>
    <v>18877952</v>
    <v>2004</v>
  </rv>
  <rv s="2">
    <v>71</v>
  </rv>
  <rv s="0">
    <v>https://www.bing.com/financeapi/forcetrigger?t=a24kar&amp;q=XNAS%3aTSLA&amp;form=skydnc</v>
    <v>Learn more on Bing</v>
  </rv>
  <rv s="1">
    <v>en-US</v>
    <v>a24kar</v>
    <v>268435456</v>
    <v>1</v>
    <v>Powered by Refinitiv</v>
    <v>0</v>
    <v>TESLA, INC. (XNAS:TSLA)</v>
    <v>2</v>
    <v>3</v>
    <v>Finance</v>
    <v>4</v>
    <v>488.53989999999999</v>
    <v>214.25</v>
    <v>1.8687</v>
    <v>-16.16</v>
    <v>-2.2430000000000002E-7</v>
    <v>-3.4973000000000004E-2</v>
    <v>-1E-4</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467.45</v>
    <v>Automobiles &amp; Auto Parts</v>
    <v>Stock</v>
    <v>45967.948660832815</v>
    <v>73</v>
    <v>435.09</v>
    <v>1483015950290</v>
    <v>TESLA, INC.</v>
    <v>TESLA, INC.</v>
    <v>461.96</v>
    <v>309.16590000000002</v>
    <v>462.07</v>
    <v>445.91</v>
    <v>445.90989999999999</v>
    <v>3325819000</v>
    <v>TSLA</v>
    <v>TESLA, INC. (XNAS:TSLA)</v>
    <v>107256633</v>
    <v>87675899</v>
    <v>2024</v>
  </rv>
  <rv s="2">
    <v>74</v>
  </rv>
  <rv s="0">
    <v>https://www.bing.com/financeapi/forcetrigger?t=a1mou2&amp;q=XNAS%3aAAPL&amp;form=skydnc</v>
    <v>Learn more on Bing</v>
  </rv>
  <rv s="1">
    <v>en-US</v>
    <v>a1mou2</v>
    <v>268435456</v>
    <v>1</v>
    <v>Powered by Refinitiv</v>
    <v>0</v>
    <v>APPLE INC. (XNAS:AAPL)</v>
    <v>2</v>
    <v>3</v>
    <v>Finance</v>
    <v>4</v>
    <v>277.32</v>
    <v>169.21010000000001</v>
    <v>1.1085</v>
    <v>-0.37</v>
    <v>4.4479999999999997E-4</v>
    <v>-1.3700000000000001E-3</v>
    <v>0.12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273.39999999999998</v>
    <v>Computers, Phones &amp; Household Electronics</v>
    <v>Stock</v>
    <v>45967.9486396875</v>
    <v>76</v>
    <v>267.89</v>
    <v>3986215939499</v>
    <v>APPLE INC.</v>
    <v>APPLE INC.</v>
    <v>267.89</v>
    <v>36.324800000000003</v>
    <v>270.14</v>
    <v>269.77</v>
    <v>269.89</v>
    <v>14776350000</v>
    <v>AAPL</v>
    <v>APPLE INC. (XNAS:AAPL)</v>
    <v>51103423</v>
    <v>47663237</v>
    <v>1977</v>
  </rv>
  <rv s="2">
    <v>77</v>
  </rv>
  <rv s="9">
    <v>en-US</v>
    <v>c8aoz2</v>
    <v>268435456</v>
    <v>1</v>
    <v>Powered by Refinitiv</v>
    <v>24</v>
    <v>GrnShs:2x Lg NVDA Dly (XNAS:NVDL)</v>
    <v>6</v>
    <v>25</v>
    <v>Finance</v>
    <v>12</v>
    <v>118.5</v>
    <v>23.123100000000001</v>
    <v>-7.28</v>
    <v>5.1770000000000002E-3</v>
    <v>-7.2800000000000004E-2</v>
    <v>0.48</v>
    <v>USD</v>
    <v>Nasdaq Stock Market</v>
    <v>XNAS</v>
    <v>1.0500000000000001E-2</v>
    <v>102.42</v>
    <v>ETF</v>
    <v>45967.948636666406</v>
    <v>90.95</v>
    <v>5155034438.25</v>
    <v>GrnShs:2x Lg NVDA Dly</v>
    <v>101.19499999999999</v>
    <v>100</v>
    <v>92.72</v>
    <v>93.2</v>
    <v>NVDL</v>
    <v>GrnShs:2x Lg NVDA Dly (XNAS:NVDL)</v>
    <v>14606339</v>
    <v>12728731</v>
  </rv>
  <rv s="2">
    <v>79</v>
  </rv>
  <rv s="0">
    <v>https://www.bing.com/financeapi/forcetrigger?t=bwxxoc&amp;q=XNAS%3aSOFI&amp;form=skydnc</v>
    <v>Learn more on Bing</v>
  </rv>
  <rv s="1">
    <v>en-US</v>
    <v>bwxxoc</v>
    <v>268435456</v>
    <v>1</v>
    <v>Powered by Refinitiv</v>
    <v>0</v>
    <v>SOFI TECHNOLOGIES, INC. (XNAS:SOFI)</v>
    <v>2</v>
    <v>3</v>
    <v>Finance</v>
    <v>4</v>
    <v>32.564999999999998</v>
    <v>8.6</v>
    <v>1.9374</v>
    <v>-2.91</v>
    <v>9.9410000000000002E-3</v>
    <v>-9.6773999999999999E-2</v>
    <v>0.27</v>
    <v>USD</v>
    <v>SoFi Technologies, Inc. is a member-centric, one-stop shop for digital financial services. The Company, through its lending and financial services products, allows members to borrow, save, spend, invest and protect their money. The Company's segments include Lending, Technology Platform and Financial Services. The Lending segment offers personal loans, student loans, home loans and related servicing to help its members with a variety of financial needs. Its platform supports the full transaction lifecycle, including credit application, underwriting, approval, funding and servicing. The Technology Platform segment provides services through a diversified suite of offerings which include an event and authorization platform accessed via application programming interfaces, a cloud-native digital and core banking platform and services related to both platforms. The Financial Services segment offers a suite of financial services solutions, including SoFi Money and SoFi Invest.</v>
    <v>5000</v>
    <v>Nasdaq Stock Market</v>
    <v>XNAS</v>
    <v>XNAS</v>
    <v>234 1st Street, SAN FRANCISCO, CA, 94105 US</v>
    <v>30.859000000000002</v>
    <v>Banking Services</v>
    <v>Stock</v>
    <v>45967.948649432816</v>
    <v>81</v>
    <v>27.13</v>
    <v>32716121200</v>
    <v>SOFI TECHNOLOGIES, INC.</v>
    <v>SOFI TECHNOLOGIES, INC.</v>
    <v>30.125</v>
    <v>49.716299999999997</v>
    <v>30.07</v>
    <v>27.16</v>
    <v>27.43</v>
    <v>1204570000</v>
    <v>SOFI</v>
    <v>SOFI TECHNOLOGIES, INC. (XNAS:SOFI)</v>
    <v>87618827</v>
    <v>78908294</v>
    <v>2021</v>
  </rv>
  <rv s="2">
    <v>82</v>
  </rv>
  <rv s="0">
    <v>https://www.bing.com/financeapi/forcetrigger?t=a22wz2&amp;q=XNYS%3aSHOP&amp;form=skydnc</v>
    <v>Learn more on Bing</v>
  </rv>
  <rv s="1">
    <v>en-US</v>
    <v>a22wz2</v>
    <v>268435456</v>
    <v>1</v>
    <v>Powered by Refinitiv</v>
    <v>0</v>
    <v>SHOPIFY INC. (XNAS:SHOP)</v>
    <v>2</v>
    <v>3</v>
    <v>Finance</v>
    <v>4</v>
    <v>182.19</v>
    <v>69.84</v>
    <v>2.8271999999999999</v>
    <v>-6.87</v>
    <v>4.1649999999999994E-3</v>
    <v>-4.2168000000000004E-2</v>
    <v>0.65</v>
    <v>USD</v>
    <v>Shopify Inc. (Shopify) is a Canada-based global commerce company. The Company provides essential Internet infrastructure for commerce, offering tools to start, grow, market and manage a retail business of any size. It provides platforms and services that are engineered and delivers a shopping experience for consumers online, in store and everywhere in between. Its software enables merchants to run their business across all of their sales channels, including Web and mobile storefronts, physical retail locations, social media storefronts, and marketplaces. The Company's Shopify platform provides merchants with a single view of their business across all of their sales channels and enables them to manage products and inventory, process orders and payments, fulfill and ship orders, build customer relationships, source products, leverage analytics and reporting, and access financing, all from one integrated back office. The Shopify's platform operates across 175 countries.</v>
    <v>8100</v>
    <v>Nasdaq Stock Market</v>
    <v>XNAS</v>
    <v>XNAS</v>
    <v>151 O'connor Street, Ground Floor, OTTAWA, ON, K2P 2L8 CA</v>
    <v>163.09</v>
    <v>Software &amp; IT Services</v>
    <v>Stock</v>
    <v>45967.94812880781</v>
    <v>84</v>
    <v>155.34</v>
    <v>203152600150</v>
    <v>SHOPIFY INC.</v>
    <v>SHOPIFY INC.</v>
    <v>162.42500000000001</v>
    <v>115.2341</v>
    <v>162.91999999999999</v>
    <v>156.05000000000001</v>
    <v>156.69999999999999</v>
    <v>1301843000</v>
    <v>SHOP</v>
    <v>SHOPIFY INC. (XNAS:SHOP)</v>
    <v>9745990</v>
    <v>9169700</v>
    <v>2004</v>
  </rv>
  <rv s="2">
    <v>85</v>
  </rv>
  <rv s="0">
    <v>https://www.bing.com/financeapi/forcetrigger?t=a1ntlh&amp;q=XNAS%3aASML&amp;form=skydnc</v>
    <v>Learn more on Bing</v>
  </rv>
  <rv s="1">
    <v>en-US</v>
    <v>a1ntlh</v>
    <v>268435456</v>
    <v>1</v>
    <v>Powered by Refinitiv</v>
    <v>0</v>
    <v>ASML Holding NV (XNAS:ASML)</v>
    <v>2</v>
    <v>3</v>
    <v>Finance</v>
    <v>4</v>
    <v>1086.1099999999999</v>
    <v>578.51</v>
    <v>1.8731</v>
    <v>-14.55</v>
    <v>1.7489999999999999E-3</v>
    <v>-1.3939999999999999E-2</v>
    <v>1.8</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1041.53</v>
    <v>Semiconductors &amp; Semiconductor Equipment</v>
    <v>Stock</v>
    <v>45967.945765798439</v>
    <v>87</v>
    <v>1026.44</v>
    <v>404044800000</v>
    <v>ASML Holding NV</v>
    <v>ASML Holding NV</v>
    <v>1039.8800000000001</v>
    <v>36.314999999999998</v>
    <v>1043.75</v>
    <v>1029.2</v>
    <v>1031</v>
    <v>388147700</v>
    <v>ASML</v>
    <v>ASML Holding NV (XNAS:ASML)</v>
    <v>1071769</v>
    <v>1581250</v>
    <v>1994</v>
  </rv>
  <rv s="2">
    <v>88</v>
  </rv>
  <rv s="0">
    <v>https://www.bing.com/financeapi/forcetrigger?t=a1retc&amp;q=XNYS%3aDELL&amp;form=skydnc</v>
    <v>Learn more on Bing</v>
  </rv>
  <rv s="1">
    <v>en-US</v>
    <v>a1retc</v>
    <v>268435456</v>
    <v>1</v>
    <v>Powered by Refinitiv</v>
    <v>0</v>
    <v>DELL TECHNOLOGIES INC. (XNYS:DELL)</v>
    <v>2</v>
    <v>3</v>
    <v>Finance</v>
    <v>4</v>
    <v>168.08</v>
    <v>66.245000000000005</v>
    <v>1.0132000000000001</v>
    <v>-3.16</v>
    <v>-3.9550000000000002E-3</v>
    <v>-2.0733999999999999E-2</v>
    <v>-0.59</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108000</v>
    <v>New York Stock Exchange</v>
    <v>XNYS</v>
    <v>XNYS</v>
    <v>ONE DELL WAY, ROUND ROCK, TX, 78682 US</v>
    <v>155</v>
    <v>Computers, Phones &amp; Household Electronics</v>
    <v>Stock</v>
    <v>45967.947238020315</v>
    <v>90</v>
    <v>148.82</v>
    <v>100027379850</v>
    <v>DELL TECHNOLOGIES INC.</v>
    <v>DELL TECHNOLOGIES INC.</v>
    <v>152.73500000000001</v>
    <v>21.422999999999998</v>
    <v>152.41</v>
    <v>149.25</v>
    <v>148.59</v>
    <v>670200200</v>
    <v>DELL</v>
    <v>DELL TECHNOLOGIES INC. (XNYS:DELL)</v>
    <v>4236931</v>
    <v>7520761</v>
    <v>2013</v>
  </rv>
  <rv s="2">
    <v>91</v>
  </rv>
  <rv s="0">
    <v>https://www.bing.com/financeapi/forcetrigger?t=c27jhw&amp;q=XNAS%3aMNDY&amp;form=skydnc</v>
    <v>Learn more on Bing</v>
  </rv>
  <rv s="1">
    <v>en-US</v>
    <v>c27jhw</v>
    <v>268435456</v>
    <v>1</v>
    <v>Powered by Refinitiv</v>
    <v>0</v>
    <v>MONDAY.COM LTD (XNAS:MNDY)</v>
    <v>2</v>
    <v>3</v>
    <v>Finance</v>
    <v>4</v>
    <v>342.64</v>
    <v>166.22</v>
    <v>1.2427999999999999</v>
    <v>-11.21</v>
    <v>4.0330000000000001E-3</v>
    <v>-5.8316E-2</v>
    <v>0.73</v>
    <v>USD</v>
    <v>Monday.Com Ltd is an Israel-based company engaged primarily in the software sector. The Company provides cloud-based platform that enables its users to create custom applications and project management software. The platform offers a Work Operating System (Work OS) that provides modular building blocks to create software applications and work management tools. This system is designed to enhance team collaboration and streamline workflows across various business functions, including project management, CRM, marketing, and more. The Company has teams in Tel Aviv, New York, San Francisco, Miami, Chicago, London, Kiev, and Sydney. The Company customize its platform to suit any business vertical and serves customers worldwide.</v>
    <v>2508</v>
    <v>Nasdaq Stock Market</v>
    <v>XNAS</v>
    <v>XNAS</v>
    <v>6 Yitzhak Sadeh Street, TEL AVIV-YAFO, 677750 IL</v>
    <v>188</v>
    <v>Software &amp; IT Services</v>
    <v>Stock</v>
    <v>45967.948406041403</v>
    <v>93</v>
    <v>178.1001</v>
    <v>9331845289</v>
    <v>MONDAY.COM LTD</v>
    <v>MONDAY.COM LTD</v>
    <v>188</v>
    <v>259.18880000000001</v>
    <v>192.23</v>
    <v>181.02</v>
    <v>181.75</v>
    <v>51551460</v>
    <v>MNDY</v>
    <v>MONDAY.COM LTD (XNAS:MNDY)</v>
    <v>1713492</v>
    <v>881531</v>
    <v>2012</v>
  </rv>
  <rv s="2">
    <v>94</v>
  </rv>
  <rv s="0">
    <v>https://www.bing.com/financeapi/forcetrigger?t=c1tsrw&amp;q=XNAS%3aPGY&amp;form=skydnc</v>
    <v>Learn more on Bing</v>
  </rv>
  <rv s="1">
    <v>en-US</v>
    <v>c1tsrw</v>
    <v>268435456</v>
    <v>1</v>
    <v>Powered by Refinitiv</v>
    <v>0</v>
    <v>PAGAYA TECHNOLOGIES LTD (XNAS:PGY)</v>
    <v>2</v>
    <v>3</v>
    <v>Finance</v>
    <v>4</v>
    <v>44.99</v>
    <v>8.1999999999999993</v>
    <v>5.8632</v>
    <v>-2.2000000000000002</v>
    <v>5.9850000000000007E-3</v>
    <v>-8.5970999999999992E-2</v>
    <v>0.14000000000000001</v>
    <v>USD</v>
    <v>Pagaya Technologies Ltd is an Israel-based company. It is primarily engaged in financial technology (FinTech) industry. The Company develops data science, machine learning and AI technology (Artificial Intelligence) analytics, enabling accurate, real-time customer credit assessments. Company's customers are lending companies that, by connecting to the AI Pagaya network, have the opportunity to discover and approve new customers that meet their credit criteria. Thanks to the Company's solutions, its customers gains a customer without undue risk. Pagaya Technologies Ltd delivers technology that provides loan assistance such as personal, car and credit card loans. The Company serves its clients all over the world.</v>
    <v>553</v>
    <v>Nasdaq Stock Market</v>
    <v>XNAS</v>
    <v>XNAS</v>
    <v>121 Menachem Begin Rd., 54Th Floor, TEL AVIV-YAFO IL</v>
    <v>25.38</v>
    <v>Financial Technology (Fintech) &amp; Infrastructure</v>
    <v>Stock</v>
    <v>45967.948606990627</v>
    <v>96</v>
    <v>23.18</v>
    <v>1791871177</v>
    <v>PAGAYA TECHNOLOGIES LTD</v>
    <v>PAGAYA TECHNOLOGIES LTD</v>
    <v>25.24</v>
    <v>0</v>
    <v>25.59</v>
    <v>23.39</v>
    <v>23.53</v>
    <v>76608430</v>
    <v>PGY</v>
    <v>PAGAYA TECHNOLOGIES LTD (XNAS:PGY)</v>
    <v>5407821</v>
    <v>4445681</v>
    <v>2016</v>
  </rv>
  <rv s="2">
    <v>97</v>
  </rv>
  <rv s="0">
    <v>https://www.bing.com/financeapi/forcetrigger?t=a2aiur&amp;q=OTCM%3aBRPHF&amp;form=skydnc</v>
    <v>Learn more on Bing</v>
  </rv>
  <rv s="1">
    <v>en-US</v>
    <v>a2aiur</v>
    <v>268435456</v>
    <v>1</v>
    <v>Powered by Refinitiv</v>
    <v>0</v>
    <v>GALAXY DIGITAL INC. (XNAS:GLXY)</v>
    <v>2</v>
    <v>3</v>
    <v>Finance</v>
    <v>4</v>
    <v>45.92</v>
    <v>8.1999999999999993</v>
    <v>3.9828000000000001</v>
    <v>-1.06</v>
    <v>3.9500000000000004E-3</v>
    <v>-3.3715000000000002E-2</v>
    <v>0.12</v>
    <v>USD</v>
    <v>Galaxy Digital Inc. is engaged in the business of digital assets and data center infrastructure, delivering solutions that accelerate progress in finance and artificial intelligence (AI). The Company's digital assets platform offers institutional access to trading, advisory, asset management, staking, self-custody, and tokenization technology. In addition, it develops and operates data center infrastructure to power AI and high-performance computing workloads. The Company's segments include Digital Assets, Data Centers, and Treasury and Corporate. Its Digital Assets operating business segment provides new products and capabilities such as staking, margin-based financing and active exchange-traded funds. The Data Centers segment comprises the Helios infrastructure assets. Its Data Centers segment develops and operates High Performance Computing (HPC) infrastructure to meet the growing demand for large-scale, power-ready facilities in the AI/HPC industry.</v>
    <v>520</v>
    <v>Nasdaq Stock Market</v>
    <v>XNAS</v>
    <v>XNAS</v>
    <v>300 Vesey Street, 13Th Floor, NEW YORK, NY, 10282 US</v>
    <v>32.979999999999997</v>
    <v>Investment Banking &amp; Investment Services</v>
    <v>Stock</v>
    <v>45967.947238055465</v>
    <v>99</v>
    <v>29.48</v>
    <v>11915807652</v>
    <v>GALAXY DIGITAL INC.</v>
    <v>GALAXY DIGITAL INC.</v>
    <v>32.770000000000003</v>
    <v>0</v>
    <v>31.44</v>
    <v>30.38</v>
    <v>30.5</v>
    <v>392225400</v>
    <v>GLXY</v>
    <v>GALAXY DIGITAL INC. (XNAS:GLXY)</v>
    <v>11384514</v>
    <v>9925040</v>
    <v>2021</v>
  </rv>
  <rv s="2">
    <v>100</v>
  </rv>
  <rv s="0">
    <v>https://www.bing.com/financeapi/forcetrigger?t=a24xlh&amp;q=XNYS%3aUNH&amp;form=skydnc</v>
    <v>Learn more on Bing</v>
  </rv>
  <rv s="1">
    <v>en-US</v>
    <v>a24xlh</v>
    <v>268435456</v>
    <v>1</v>
    <v>Powered by Refinitiv</v>
    <v>0</v>
    <v>UNITEDHEALTH GROUP INCORPORATED (XNYS:UNH)</v>
    <v>2</v>
    <v>3</v>
    <v>Finance</v>
    <v>4</v>
    <v>630.73</v>
    <v>234.6</v>
    <v>0.435</v>
    <v>-5.97</v>
    <v>-6.4370000000000009E-3</v>
    <v>-1.8216E-2</v>
    <v>-2.0699999999999998</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400000</v>
    <v>New York Stock Exchange</v>
    <v>XNYS</v>
    <v>XNYS</v>
    <v>1 HEALTH DRIVE, EDEN PRAIRIE, MN, 55344 US</v>
    <v>332.36500000000001</v>
    <v>Healthcare Providers &amp; Services</v>
    <v>Stock</v>
    <v>45967.948316724222</v>
    <v>102</v>
    <v>321.45</v>
    <v>291471686322</v>
    <v>UNITEDHEALTH GROUP INCORPORATED</v>
    <v>UNITEDHEALTH GROUP INCORPORATED</v>
    <v>328.92</v>
    <v>16.786100000000001</v>
    <v>327.74</v>
    <v>321.77</v>
    <v>319.49</v>
    <v>905838600</v>
    <v>UNH</v>
    <v>UNITEDHEALTH GROUP INCORPORATED (XNYS:UNH)</v>
    <v>7867708</v>
    <v>8852111</v>
    <v>2015</v>
  </rv>
  <rv s="2">
    <v>103</v>
  </rv>
  <rv s="0">
    <v>https://www.bing.com/financeapi/forcetrigger?t=c1dbvh&amp;q=XNYS%3aPATH&amp;form=skydnc</v>
    <v>Learn more on Bing</v>
  </rv>
  <rv s="1">
    <v>en-US</v>
    <v>c1dbvh</v>
    <v>268435456</v>
    <v>1</v>
    <v>Powered by Refinitiv</v>
    <v>0</v>
    <v>UIPATH, INC. (XNYS:PATH)</v>
    <v>2</v>
    <v>3</v>
    <v>Finance</v>
    <v>4</v>
    <v>18.739999999999998</v>
    <v>9.3800000000000008</v>
    <v>1.0989</v>
    <v>-0.41</v>
    <v>-9.1940000000000008E-3</v>
    <v>-2.8178999999999999E-2</v>
    <v>-0.13</v>
    <v>USD</v>
    <v>UiPath, Inc. is an enterprise automation and artificial intelligence (AI) software company. The Company is focused on building and managing automations, starting with computer vision technology and user interface automations in its initial robotic process automation (RPA) offering. Its AI-powered UiPath Platform offers a robust set of capabilities that allows its customers to discover opportunities for automation, automate using a digital workforce that seamlessly collaborates with humans, and operate a mission critical automation program at scale. It enables employees to quickly build automations for both existing and new processes and to automate an array of actions, including logging into applications, extracting information from documents, moving folders, filling in forms, reading emails, and updating information fields and databases. Its platform allows users to design and combine UI automations, API integrations, and AI-based document understanding in a single workflow.</v>
    <v>3868</v>
    <v>New York Stock Exchange</v>
    <v>XNYS</v>
    <v>XNYS</v>
    <v>One Vanderbilt Avenue, 60th Floor, NEW YORK, NY, 10017 US</v>
    <v>14.585000000000001</v>
    <v>Software &amp; IT Services</v>
    <v>Stock</v>
    <v>45967.948547823435</v>
    <v>105</v>
    <v>13.8</v>
    <v>7508646838</v>
    <v>UIPATH, INC.</v>
    <v>UIPATH, INC.</v>
    <v>14.48</v>
    <v>471.33330000000001</v>
    <v>14.55</v>
    <v>14.14</v>
    <v>14.01</v>
    <v>531021700</v>
    <v>PATH</v>
    <v>UIPATH, INC. (XNYS:PATH)</v>
    <v>18081307</v>
    <v>32688088</v>
    <v>2015</v>
  </rv>
  <rv s="2">
    <v>106</v>
  </rv>
  <rv s="0">
    <v>https://www.bing.com/financeapi/forcetrigger?t=bo5fpr&amp;q=XNAS%3aMRNA&amp;form=skydnc</v>
    <v>Learn more on Bing</v>
  </rv>
  <rv s="1">
    <v>en-US</v>
    <v>bo5fpr</v>
    <v>268435456</v>
    <v>1</v>
    <v>Powered by Refinitiv</v>
    <v>0</v>
    <v>MODERNA, INC. (XNAS:MRNA)</v>
    <v>2</v>
    <v>3</v>
    <v>Finance</v>
    <v>4</v>
    <v>56.695</v>
    <v>23.15</v>
    <v>1.1266</v>
    <v>0.77</v>
    <v>-3.699E-3</v>
    <v>3.2682999999999997E-2</v>
    <v>-0.09</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25.56</v>
    <v>Pharmaceuticals</v>
    <v>Stock</v>
    <v>45967.947608182811</v>
    <v>108</v>
    <v>23.661999999999999</v>
    <v>9502830864</v>
    <v>MODERNA, INC.</v>
    <v>MODERNA, INC.</v>
    <v>25.24</v>
    <v>0</v>
    <v>23.56</v>
    <v>24.33</v>
    <v>24.24</v>
    <v>390580800</v>
    <v>MRNA</v>
    <v>MODERNA, INC. (XNAS:MRNA)</v>
    <v>17601334</v>
    <v>10899842</v>
    <v>2016</v>
  </rv>
  <rv s="2">
    <v>109</v>
  </rv>
  <rv s="0">
    <v>https://www.bing.com/financeapi/forcetrigger?t=a1zqnm&amp;q=XNYS%3aPFE&amp;form=skydnc</v>
    <v>Learn more on Bing</v>
  </rv>
  <rv s="1">
    <v>en-US</v>
    <v>a1zqnm</v>
    <v>268435456</v>
    <v>1</v>
    <v>Powered by Refinitiv</v>
    <v>0</v>
    <v>PFIZER INC. (XNYS:PFE)</v>
    <v>2</v>
    <v>3</v>
    <v>Finance</v>
    <v>4</v>
    <v>27.99</v>
    <v>20.914999999999999</v>
    <v>0.4229</v>
    <v>0.27500000000000002</v>
    <v>8.0479999999999994E-4</v>
    <v>1.1174E-2</v>
    <v>0.02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25.13</v>
    <v>Pharmaceuticals</v>
    <v>Stock</v>
    <v>45967.948610034378</v>
    <v>111</v>
    <v>24.543199999999999</v>
    <v>141488843580</v>
    <v>PFIZER INC.</v>
    <v>PFIZER INC.</v>
    <v>24.75</v>
    <v>14.505100000000001</v>
    <v>24.61</v>
    <v>24.885000000000002</v>
    <v>24.87</v>
    <v>5685708000</v>
    <v>PFE</v>
    <v>PFIZER INC. (XNYS:PFE)</v>
    <v>123925171</v>
    <v>66944011</v>
    <v>1942</v>
  </rv>
  <rv s="2">
    <v>112</v>
  </rv>
  <rv s="13">
    <v>en-US</v>
    <v>c9t5ww</v>
    <v>268435456</v>
    <v>1</v>
    <v>Powered by Refinitiv</v>
    <v>31</v>
    <v>SEALSQ Corp (XNAS:LAES)</v>
    <v>14</v>
    <v>3</v>
    <v>Finance</v>
    <v>4</v>
    <v>11</v>
    <v>0.309</v>
    <v>0.92800000000000005</v>
    <v>-0.56999999999999995</v>
    <v>-3.3610000000000003E-3</v>
    <v>-8.6625999999999995E-2</v>
    <v>-2.0199999999999999E-2</v>
    <v>USD</v>
    <v>Sealsq Corp is a Switzerland based holding company operating primarily in the semiconductor industry. The Company focuses on developing and selling tamper resistant semiconductors, chips, processors and Post-Quantum technology products. The Company also develops certified secure microcontrollers and implement post-quantum cryptography also secure hardware, firmware, and provides other services for customers across multiple industries. The Company’s products are applicable in consumer electronics, aerospace &amp; military, telecommunications, energy and building, logistics, and medical sectors. The Company offers its solutions across the globe: USA, Canada, Europe, Middle East, Asia and Australia.</v>
    <v>67</v>
    <v>Nasdaq Stock Market</v>
    <v>XNAS</v>
    <v>XNAS</v>
    <v>Avenue Louis-Casai 58, COINTRIN, GENEVE, 1216 CH</v>
    <v>6.52</v>
    <v>Semiconductors &amp; Semiconductor Equipment</v>
    <v>Stock</v>
    <v>45967.948486041409</v>
    <v>5.99</v>
    <v>1167299000</v>
    <v>SEALSQ Corp</v>
    <v>SEALSQ Corp</v>
    <v>6.43</v>
    <v>0</v>
    <v>6.58</v>
    <v>6.01</v>
    <v>5.9897999999999998</v>
    <v>177401000</v>
    <v>LAES</v>
    <v>SEALSQ Corp (XNAS:LAES)</v>
    <v>16384531</v>
    <v>54160219</v>
    <v>2022</v>
  </rv>
  <rv s="2">
    <v>114</v>
  </rv>
  <rv s="0">
    <v>https://www.bing.com/financeapi/forcetrigger?t=b116bh&amp;q=XNAS%3aWKEY&amp;form=skydnc</v>
    <v>Learn more on Bing</v>
  </rv>
  <rv s="1">
    <v>en-US</v>
    <v>b116bh</v>
    <v>268435456</v>
    <v>1</v>
    <v>Powered by Refinitiv</v>
    <v>0</v>
    <v>WISeKey International Holding Ltd (XNAS:WKEY)</v>
    <v>2</v>
    <v>3</v>
    <v>Finance</v>
    <v>4</v>
    <v>19.8</v>
    <v>1.61</v>
    <v>1.4240999999999999</v>
    <v>-1.81</v>
    <v>3.9529999999999999E-3</v>
    <v>-0.12517300000000001</v>
    <v>0.05</v>
    <v>USD</v>
    <v>Wisekey International Holding AG is a Switzerland-based e-security company. It offers secure communication solutions for physical infrastructures, mobile networks and the Web, and helps protecting corporate data with archiving, invoicing and other security technologies, securing mobile phone communications and data, among others. The Company also provides identification and authentication solutions, and serves clients from various industries, including defense, health, education, finance, and government. Its product portfolio includes, among others, WISFans, which delivers customized sport contents, WISeID, which is an encryption solution to store usernames, passwords, personal identification numbers (PINs), credit cards, loyalty cards, notes, and other critical information, WISePhone for securing privacy in the area of mobile communication, and WISeAuthentic, which is an anti-counterfeiting and sales monitoring system.</v>
    <v>10</v>
    <v>Nasdaq Stock Market</v>
    <v>XNAS</v>
    <v>XNAS</v>
    <v>General-Guisan-Strasse 6, ZUG, ZUG, 6300 CH</v>
    <v>14.74</v>
    <v>Semiconductors &amp; Semiconductor Equipment</v>
    <v>Stock</v>
    <v>45967.945080439065</v>
    <v>116</v>
    <v>12.61</v>
    <v>112313200</v>
    <v>WISeKey International Holding Ltd</v>
    <v>WISeKey International Holding Ltd</v>
    <v>14.46</v>
    <v>0</v>
    <v>14.46</v>
    <v>12.65</v>
    <v>12.7</v>
    <v>8161090</v>
    <v>WKEY</v>
    <v>WISeKey International Holding Ltd (XNAS:WKEY)</v>
    <v>578076</v>
    <v>1668522</v>
    <v>2015</v>
  </rv>
  <rv s="2">
    <v>117</v>
  </rv>
  <rv s="0">
    <v>https://www.bing.com/financeapi/forcetrigger?t=a1wzw7&amp;q=XNYS%3aLMT&amp;form=skydnc</v>
    <v>Learn more on Bing</v>
  </rv>
  <rv s="1">
    <v>en-US</v>
    <v>a1wzw7</v>
    <v>268435456</v>
    <v>1</v>
    <v>Powered by Refinitiv</v>
    <v>0</v>
    <v>LOCKHEED MARTIN CORPORATION (XNYS:LMT)</v>
    <v>2</v>
    <v>3</v>
    <v>Finance</v>
    <v>4</v>
    <v>576.42999999999995</v>
    <v>410.11</v>
    <v>0.24079999999999999</v>
    <v>-4.1349999999999998</v>
    <v>-8.53E-5</v>
    <v>-8.7390000000000002E-3</v>
    <v>-0.04</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121000</v>
    <v>New York Stock Exchange</v>
    <v>XNYS</v>
    <v>XNYS</v>
    <v>6801 ROCKLEDGE DR, BETHESDA, MD, 20817 US</v>
    <v>474.18</v>
    <v>Aerospace &amp; Defense</v>
    <v>Stock</v>
    <v>45967.94862594844</v>
    <v>119</v>
    <v>466.11470000000003</v>
    <v>109483600000</v>
    <v>LOCKHEED MARTIN CORPORATION</v>
    <v>LOCKHEED MARTIN CORPORATION</v>
    <v>473.11</v>
    <v>26.125900000000001</v>
    <v>473.14</v>
    <v>469.005</v>
    <v>468.88</v>
    <v>231397800</v>
    <v>LMT</v>
    <v>LOCKHEED MARTIN CORPORATION (XNYS:LMT)</v>
    <v>1093478</v>
    <v>1307242</v>
    <v>1994</v>
  </rv>
  <rv s="2">
    <v>120</v>
  </rv>
  <rv s="0">
    <v>https://www.bing.com/financeapi/forcetrigger?t=a22m27&amp;q=ARCX%3aSCHD&amp;form=skydnc</v>
    <v>Learn more on Bing</v>
  </rv>
  <rv s="4">
    <v>en-US</v>
    <v>a22m27</v>
    <v>268435456</v>
    <v>1</v>
    <v>Powered by Refinitiv</v>
    <v>9</v>
    <v>Schwab Str:US Div Eq ETF (ARCX:SCHD)</v>
    <v>10</v>
    <v>11</v>
    <v>Finance</v>
    <v>12</v>
    <v>29.72</v>
    <v>23.87</v>
    <v>0.92059999999999997</v>
    <v>-0.06</v>
    <v>-1.8849999999999997E-4</v>
    <v>-2.258E-3</v>
    <v>-5.0000000000000001E-3</v>
    <v>USD</v>
    <v>NYSE Arca</v>
    <v>ARCX</v>
    <v>5.9999999999999995E-4</v>
    <v>26.67</v>
    <v>ETF</v>
    <v>45967.948177476559</v>
    <v>122</v>
    <v>26.46</v>
    <v>69085749378.080002</v>
    <v>Schwab Str:US Div Eq ETF</v>
    <v>26.55</v>
    <v>26.57</v>
    <v>26.51</v>
    <v>26.515000000000001</v>
    <v>SCHD</v>
    <v>Schwab Str:US Div Eq ETF (ARCX:SCHD)</v>
    <v>15825935</v>
    <v>17210339</v>
  </rv>
  <rv s="2">
    <v>123</v>
  </rv>
  <rv s="0">
    <v>https://www.bing.com/financeapi/forcetrigger?t=a1vxfr&amp;q=ARCX%3aIWM&amp;form=skydnc</v>
    <v>Learn more on Bing</v>
  </rv>
  <rv s="4">
    <v>en-US</v>
    <v>a1vxfr</v>
    <v>268435456</v>
    <v>1</v>
    <v>Powered by Refinitiv</v>
    <v>9</v>
    <v>iShares:Russ 2000 ETF (ARCX:IWM)</v>
    <v>10</v>
    <v>11</v>
    <v>Finance</v>
    <v>12</v>
    <v>252.77</v>
    <v>171.73</v>
    <v>0.99909999999999999</v>
    <v>-4.33</v>
    <v>1.3320000000000001E-3</v>
    <v>-1.7697000000000001E-2</v>
    <v>0.3201</v>
    <v>USD</v>
    <v>NYSE Arca</v>
    <v>ARCX</v>
    <v>1.9E-3</v>
    <v>244.785</v>
    <v>ETF</v>
    <v>45967.947360242972</v>
    <v>125</v>
    <v>240</v>
    <v>68124667106.970001</v>
    <v>iShares:Russ 2000 ETF</v>
    <v>244.26</v>
    <v>244.68</v>
    <v>240.35</v>
    <v>240.67009999999999</v>
    <v>IWM</v>
    <v>iShares:Russ 2000 ETF (ARCX:IWM)</v>
    <v>40503631</v>
    <v>37765252</v>
  </rv>
  <rv s="2">
    <v>126</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10">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30">
      <v t="s">%EntityServiceId</v>
      <v t="s">_Format</v>
      <v t="s">%IsRefreshable</v>
      <v t="s">%EntityCulture</v>
      <v t="s">%EntityId</v>
      <v t="s">_Icon</v>
      <v t="s">_Display</v>
      <v t="s">Name</v>
      <v t="s">Price</v>
      <v t="s">Exchange</v>
      <v t="s">_SubLabel</v>
      <v t="s">Last trade time</v>
      <v t="s">Ticker symbol</v>
      <v t="s">Exchange abbreviation</v>
      <v t="s">Change</v>
      <v t="s">Expense ratio</v>
      <v t="s">Change (%)</v>
      <v t="s">Currency</v>
      <v t="s">Previous close</v>
      <v t="s">Open</v>
      <v t="s">High</v>
      <v t="s">Low</v>
      <v t="s">Volume</v>
      <v t="s">Market cap</v>
      <v t="s">Instrument type</v>
      <v t="s">_Flags</v>
      <v t="s">UniqueName</v>
      <v t="s">_DisplayString</v>
      <v t="s">LearnMoreOnLink</v>
      <v t="s">%ProviderInfo</v>
    </a>
    <a count="40">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35">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Instrument type</v>
      <v t="s">_Flags</v>
      <v t="s">UniqueName</v>
      <v t="s">_DisplayString</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spbArrays>
  <spbData count="32">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5">
      <v>1</v>
      <v>Name</v>
    </spb>
    <spb s="6">
      <v>1</v>
      <v>1</v>
    </spb>
    <spb s="7">
      <v>10</v>
      <v>10</v>
      <v>3</v>
      <v>10</v>
      <v>10</v>
      <v>10</v>
      <v>5</v>
      <v>10</v>
      <v>10</v>
      <v>10</v>
      <v>7</v>
      <v>9</v>
    </spb>
    <spb s="8">
      <v>GMT</v>
    </spb>
    <spb s="0">
      <v>2</v>
      <v>Name</v>
      <v>LearnMoreOnLink</v>
    </spb>
    <spb s="9">
      <v>1</v>
      <v>1</v>
      <v>1</v>
    </spb>
    <spb s="10">
      <v>1</v>
      <v>2</v>
      <v>1</v>
      <v>3</v>
      <v>1</v>
      <v>1</v>
      <v>1</v>
      <v>4</v>
      <v>5</v>
      <v>6</v>
      <v>1</v>
      <v>1</v>
      <v>5</v>
      <v>1</v>
      <v>4</v>
      <v>7</v>
      <v>9</v>
      <v>1</v>
      <v>1</v>
      <v>5</v>
    </spb>
    <spb s="11">
      <v>at close</v>
      <v>from previous close</v>
      <v>Source: Nasdaq Last Sale</v>
      <v>from previous close</v>
      <v>GMT</v>
      <v>Real-Time Nasdaq Last Sale</v>
      <v>from close</v>
      <v>from close</v>
    </spb>
    <spb s="5">
      <v>3</v>
      <v>Name</v>
    </spb>
    <spb s="12">
      <v>1</v>
      <v>1</v>
      <v>1</v>
    </spb>
    <spb s="13">
      <v>1</v>
      <v>2</v>
      <v>2</v>
      <v>1</v>
      <v>3</v>
      <v>1</v>
      <v>1</v>
      <v>1</v>
      <v>4</v>
      <v>5</v>
      <v>6</v>
      <v>1</v>
      <v>1</v>
      <v>1</v>
      <v>4</v>
      <v>7</v>
      <v>8</v>
      <v>9</v>
      <v>4</v>
      <v>1</v>
      <v>1</v>
      <v>5</v>
    </spb>
    <spb s="0">
      <v>4</v>
      <v>Name</v>
      <v>LearnMoreOnLink</v>
    </spb>
    <spb s="14">
      <v>1</v>
      <v>2</v>
      <v>1</v>
      <v>3</v>
      <v>1</v>
      <v>1</v>
      <v>1</v>
      <v>4</v>
      <v>5</v>
      <v>6</v>
      <v>1</v>
      <v>1</v>
      <v>5</v>
      <v>1</v>
      <v>7</v>
      <v>9</v>
    </spb>
    <spb s="15">
      <v>Delayed 15 minutes</v>
      <v>from previous close</v>
      <v>LSE</v>
      <v>from previous close</v>
      <v>GMT</v>
    </spb>
    <spb s="0">
      <v>5</v>
      <v>Name</v>
      <v>LearnMoreOnLink</v>
    </spb>
    <spb s="16">
      <v>11</v>
      <v>11</v>
      <v>3</v>
      <v>11</v>
      <v>11</v>
      <v>11</v>
      <v>4</v>
      <v>5</v>
      <v>12</v>
      <v>5</v>
      <v>11</v>
      <v>7</v>
      <v>9</v>
    </spb>
    <spb s="17">
      <v>from previous close</v>
      <v>from previous close</v>
      <v>GMT</v>
    </spb>
    <spb s="5">
      <v>6</v>
      <v>Name</v>
    </spb>
    <spb s="18">
      <v>13</v>
      <v>2</v>
      <v>13</v>
      <v>3</v>
      <v>13</v>
      <v>13</v>
      <v>13</v>
      <v>4</v>
      <v>4</v>
      <v>5</v>
      <v>6</v>
      <v>13</v>
      <v>13</v>
      <v>13</v>
      <v>4</v>
      <v>7</v>
      <v>8</v>
      <v>9</v>
      <v>4</v>
    </spb>
    <spb s="5">
      <v>7</v>
      <v>Name</v>
    </spb>
    <spb s="19">
      <v>1</v>
      <v>1</v>
      <v>3</v>
      <v>1</v>
      <v>1</v>
      <v>1</v>
      <v>4</v>
      <v>5</v>
      <v>6</v>
      <v>1</v>
      <v>1</v>
      <v>5</v>
      <v>1</v>
      <v>4</v>
      <v>7</v>
      <v>9</v>
      <v>1</v>
      <v>1</v>
      <v>5</v>
    </spb>
    <spb s="0">
      <v>8</v>
      <v>Name</v>
      <v>LearnMoreOnLink</v>
    </spb>
    <spb s="20">
      <v>0</v>
      <v>0</v>
    </spb>
    <spb s="21">
      <v>27</v>
      <v>1</v>
      <v>1</v>
      <v>1</v>
      <v>1</v>
    </spb>
    <spb s="22">
      <v>1</v>
      <v>2</v>
      <v>2</v>
      <v>1</v>
      <v>3</v>
      <v>1</v>
      <v>14</v>
      <v>1</v>
      <v>1</v>
      <v>4</v>
      <v>4</v>
      <v>5</v>
      <v>6</v>
      <v>1</v>
      <v>1</v>
      <v>1</v>
      <v>4</v>
      <v>7</v>
      <v>8</v>
      <v>9</v>
      <v>4</v>
      <v>1</v>
      <v>1</v>
      <v>5</v>
    </spb>
    <spb s="23">
      <v>Powered by Refinitiv</v>
    </spb>
    <spb s="5">
      <v>9</v>
      <v>Name</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Order" t="spba"/>
    <k n="TitleProperty" t="s"/>
  </s>
  <s>
    <k n="UniqueName" t="spb"/>
    <k n="`%ProviderInfo" t="spb"/>
  </s>
  <s>
    <k n="Low" t="i"/>
    <k n="High" t="i"/>
    <k n="Name" t="i"/>
    <k n="Open" t="i"/>
    <k n="Price" t="i"/>
    <k n="Change" t="i"/>
    <k n="Change (%)" t="i"/>
    <k n="52 week low" t="i"/>
    <k n="52 week high" t="i"/>
    <k n="Previous close" t="i"/>
    <k n="Last trade time" t="i"/>
    <k n="`%EntityServiceId" t="i"/>
  </s>
  <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ExchangeID" t="spb"/>
    <k n="UniqueName" t="spb"/>
    <k n="`%ProviderInfo" t="spb"/>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Beta" t="i"/>
    <k n="High" t="i"/>
    <k n="Name" t="i"/>
    <k n="Open" t="i"/>
    <k n="Price" t="i"/>
    <k n="Change" t="i"/>
    <k n="Volume" t="i"/>
    <k n="Change (%)" t="i"/>
    <k n="Market cap" t="i"/>
    <k n="52 week low" t="i"/>
    <k n="52 week high" t="i"/>
    <k n="Expense ratio" t="i"/>
    <k n="Previous close" t="i"/>
    <k n="Last trade time" t="i"/>
    <k n="`%EntityServiceId" t="i"/>
  </s>
  <s>
    <k n="Price" t="s"/>
    <k n="Change" t="s"/>
    <k n="Exchange" t="s"/>
    <k n="Change (%)" t="s"/>
    <k n="Last trade time" t="s"/>
  </s>
  <s>
    <k n="Low" t="i"/>
    <k n="High" t="i"/>
    <k n="Name" t="i"/>
    <k n="Open" t="i"/>
    <k n="Price" t="i"/>
    <k n="Change" t="i"/>
    <k n="Volume" t="i"/>
    <k n="Change (%)" t="i"/>
    <k n="Market cap" t="i"/>
    <k n="Expense ratio" t="i"/>
    <k n="Previous close" t="i"/>
    <k n="Last trade time" t="i"/>
    <k n="`%EntityServiceId" t="i"/>
  </s>
  <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x:dxf>
      <x:numFmt numFmtId="35" formatCode="_(* #,##0.00_);_(* \(#,##0.00\);_(* &quot;-&quot;??_);_(@_)"/>
    </x:dxf>
    <x:dxf>
      <x:numFmt numFmtId="33" formatCode="_(* #,##0_);_(* \(#,##0\);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 xml:space="preserve">_ [$₪-he-IL] * #,##0.00_ ;_ [$₪-he-IL] * -#,##0.00_ ;_ [$₪-he-IL] * "-"??_ ;_ @_ </rpv>
    </rSty>
    <rSty dxfid="7">
      <rpv i="0">_(* #,##0.00_);_(* (#,##0.00);_(* "-"??_);_(@_)</rpv>
    </rSty>
    <rSty dxfid="8">
      <rpv i="0">_(* #,##0_);_(* (#,##0);_(* "-"_);_(@_)</rpv>
    </rSty>
    <rSty dxfid="1">
      <rpv i="0">_-[$$-en-CA]* #,##0.00_-;-[$$-en-CA]* #,##0.00_-;_-[$$-en-CA]* "-"??_-;_-@_-</rpv>
    </rSty>
    <rSty>
      <rpv i="2">1</rpv>
    </rSty>
  </richStyles>
</richStyleSheet>
</file>

<file path=xl/theme/theme1.xml><?xml version="1.0" encoding="utf-8"?>
<a:theme xmlns:a="http://schemas.openxmlformats.org/drawingml/2006/main" name="ערכת נושא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F2ABD-03F4-4D79-9D70-0BAF17F2DAAE}">
  <dimension ref="A1:Z66"/>
  <sheetViews>
    <sheetView tabSelected="1" topLeftCell="E8" zoomScaleNormal="100" workbookViewId="0">
      <selection activeCell="T27" sqref="T27"/>
    </sheetView>
  </sheetViews>
  <sheetFormatPr defaultRowHeight="13.8" x14ac:dyDescent="0.25"/>
  <cols>
    <col min="2" max="2" width="6.19921875" bestFit="1" customWidth="1"/>
    <col min="3" max="3" width="12.19921875" bestFit="1" customWidth="1"/>
    <col min="4" max="4" width="15.09765625" bestFit="1" customWidth="1"/>
    <col min="5" max="5" width="11.3984375" bestFit="1" customWidth="1"/>
    <col min="6" max="6" width="6.8984375" bestFit="1" customWidth="1"/>
    <col min="7" max="7" width="3.59765625" customWidth="1"/>
    <col min="8" max="8" width="13" style="35" bestFit="1" customWidth="1"/>
    <col min="9" max="9" width="11.69921875" bestFit="1" customWidth="1"/>
    <col min="10" max="10" width="10" bestFit="1" customWidth="1"/>
    <col min="11" max="12" width="11.296875" bestFit="1" customWidth="1"/>
    <col min="13" max="13" width="14.09765625" bestFit="1" customWidth="1"/>
    <col min="14" max="14" width="8.09765625" hidden="1" customWidth="1"/>
    <col min="15" max="15" width="15.3984375" bestFit="1" customWidth="1"/>
    <col min="16" max="16" width="11.796875" bestFit="1" customWidth="1"/>
    <col min="17" max="17" width="13" bestFit="1" customWidth="1"/>
    <col min="18" max="18" width="12.19921875" bestFit="1" customWidth="1"/>
    <col min="19" max="19" width="13" customWidth="1"/>
    <col min="20" max="20" width="13.8984375" bestFit="1" customWidth="1"/>
    <col min="21" max="21" width="10.19921875" customWidth="1"/>
    <col min="22" max="22" width="3.19921875" bestFit="1" customWidth="1"/>
  </cols>
  <sheetData>
    <row r="1" spans="1:24" ht="16.2" thickBot="1" x14ac:dyDescent="0.4">
      <c r="A1" s="79"/>
      <c r="B1" s="79"/>
      <c r="C1" s="79"/>
      <c r="D1" s="79"/>
      <c r="E1" s="79"/>
      <c r="F1" s="79"/>
      <c r="G1" s="79"/>
      <c r="H1" s="78"/>
      <c r="I1" s="79"/>
      <c r="J1" s="79"/>
      <c r="K1" s="79"/>
      <c r="L1" s="129" t="s">
        <v>38</v>
      </c>
      <c r="M1" s="130"/>
      <c r="N1" s="83"/>
      <c r="O1" s="83"/>
      <c r="P1" s="83"/>
      <c r="Q1" s="129" t="s">
        <v>37</v>
      </c>
      <c r="R1" s="130"/>
      <c r="S1" s="83"/>
      <c r="T1" s="133" t="s">
        <v>39</v>
      </c>
      <c r="U1" s="133"/>
      <c r="V1" s="133"/>
      <c r="W1" s="79"/>
      <c r="X1" s="79"/>
    </row>
    <row r="2" spans="1:24" ht="16.2" thickBot="1" x14ac:dyDescent="0.4">
      <c r="A2" s="79"/>
      <c r="B2" s="79"/>
      <c r="C2" s="79"/>
      <c r="D2" s="79"/>
      <c r="E2" s="79"/>
      <c r="F2" s="79"/>
      <c r="G2" s="83" t="e" vm="1">
        <v>#VALUE!</v>
      </c>
      <c r="H2" s="78"/>
      <c r="I2" s="79"/>
      <c r="J2" s="79"/>
      <c r="K2" s="79"/>
      <c r="L2" s="19" cm="1">
        <f t="array" aca="1" ref="L2" ca="1">_FV(P2,"Change")</f>
        <v>2.7000000000000001E-3</v>
      </c>
      <c r="M2" s="43" cm="1">
        <f t="array" aca="1" ref="M2" ca="1">_FV(P2,"Price")</f>
        <v>3.2599</v>
      </c>
      <c r="P2" s="84" t="e" vm="2">
        <v>#VALUE!</v>
      </c>
      <c r="Q2" s="29" cm="1">
        <f t="array" aca="1" ref="Q2" ca="1">_FV(S2,"Change (%)",TRUE)</f>
        <v>4.2945000000000004E-2</v>
      </c>
      <c r="R2" s="27" cm="1">
        <f t="array" aca="1" ref="R2" ca="1">_FV(S2,"Price")</f>
        <v>34</v>
      </c>
      <c r="S2" s="84" t="e" vm="3">
        <v>#VALUE!</v>
      </c>
      <c r="T2" s="20">
        <v>285000</v>
      </c>
      <c r="U2" s="134" t="s">
        <v>40</v>
      </c>
      <c r="V2" s="134"/>
      <c r="W2" s="79"/>
      <c r="X2" s="79"/>
    </row>
    <row r="3" spans="1:24" ht="16.2" thickBot="1" x14ac:dyDescent="0.4">
      <c r="A3" s="79"/>
      <c r="B3" s="103" t="s">
        <v>50</v>
      </c>
      <c r="C3" s="104" t="s">
        <v>47</v>
      </c>
      <c r="D3" s="104" t="s">
        <v>7</v>
      </c>
      <c r="E3" s="104" t="s">
        <v>6</v>
      </c>
      <c r="F3" s="105" t="s">
        <v>0</v>
      </c>
      <c r="G3" s="83" t="e" vm="4">
        <v>#VALUE!</v>
      </c>
      <c r="H3" s="78"/>
      <c r="I3" s="80"/>
      <c r="J3" s="81"/>
      <c r="K3" s="81"/>
      <c r="L3" s="82"/>
      <c r="M3" s="79"/>
      <c r="N3" s="80"/>
      <c r="O3" s="80"/>
      <c r="P3" s="80"/>
      <c r="Q3" s="81"/>
      <c r="R3" s="82"/>
      <c r="S3" s="79"/>
      <c r="T3" s="85"/>
      <c r="U3" s="86"/>
      <c r="V3" s="86"/>
      <c r="W3" s="79"/>
      <c r="X3" s="79"/>
    </row>
    <row r="4" spans="1:24" ht="16.2" thickBot="1" x14ac:dyDescent="0.4">
      <c r="A4" s="79"/>
      <c r="B4" s="44" t="str">
        <f t="shared" ref="B4:B6" ca="1" si="0">IF(E4-C4&lt;=0,"BUY","HOLD")</f>
        <v>HOLD</v>
      </c>
      <c r="C4" s="45">
        <v>40</v>
      </c>
      <c r="D4" s="46" cm="1">
        <f t="array" aca="1" ref="D4" ca="1">_FV(G2,"Change (%)",TRUE)</f>
        <v>-0.12367499999999999</v>
      </c>
      <c r="E4" s="47" cm="1">
        <f t="array" aca="1" ref="E4" ca="1">_FV(G2,"Price")</f>
        <v>66.959999999999994</v>
      </c>
      <c r="F4" s="101" t="s">
        <v>61</v>
      </c>
      <c r="G4" s="83" t="e" vm="5">
        <v>#VALUE!</v>
      </c>
      <c r="H4" s="78"/>
      <c r="I4" s="79"/>
      <c r="J4" s="139" t="s">
        <v>7</v>
      </c>
      <c r="K4" s="139"/>
      <c r="L4" s="139" t="s">
        <v>60</v>
      </c>
      <c r="M4" s="139"/>
      <c r="O4" s="79"/>
      <c r="P4" s="79"/>
      <c r="Q4" s="28" t="s">
        <v>68</v>
      </c>
      <c r="R4" s="28" t="s">
        <v>41</v>
      </c>
      <c r="S4" s="31" t="s">
        <v>48</v>
      </c>
      <c r="T4" s="31" t="s">
        <v>43</v>
      </c>
      <c r="U4" s="137" t="s">
        <v>42</v>
      </c>
      <c r="V4" s="138"/>
      <c r="W4" s="79"/>
      <c r="X4" s="79"/>
    </row>
    <row r="5" spans="1:24" ht="15.6" customHeight="1" x14ac:dyDescent="0.35">
      <c r="A5" s="79"/>
      <c r="B5" s="38" t="str">
        <f t="shared" ca="1" si="0"/>
        <v>HOLD</v>
      </c>
      <c r="C5" s="39">
        <v>100</v>
      </c>
      <c r="D5" s="37" cm="1">
        <f t="array" aca="1" ref="D5" ca="1">_FV(G3,"Change (%)",TRUE)</f>
        <v>-6.4615000000000006E-2</v>
      </c>
      <c r="E5" s="36" cm="1">
        <f t="array" aca="1" ref="E5" ca="1">_FV(G3,"Price")</f>
        <v>109.44</v>
      </c>
      <c r="F5" s="100" t="s">
        <v>62</v>
      </c>
      <c r="G5" s="83" t="e" vm="6">
        <v>#VALUE!</v>
      </c>
      <c r="H5" s="78"/>
      <c r="I5" s="79"/>
      <c r="J5" s="146">
        <f ca="1">SUM(K10,K11,K12,K17:K19,K24:K30,K35:K44,K49:K54,K59:K61)</f>
        <v>-7082.6933330453348</v>
      </c>
      <c r="K5" s="140"/>
      <c r="L5" s="140">
        <f ca="1">U5+T5+R5</f>
        <v>320889.944097</v>
      </c>
      <c r="M5" s="141"/>
      <c r="N5" s="79"/>
      <c r="O5" s="79"/>
      <c r="P5" s="79"/>
      <c r="Q5" s="32">
        <f>2300+5000</f>
        <v>7300</v>
      </c>
      <c r="R5" s="32">
        <f>T2-(U5)</f>
        <v>55254.339999999967</v>
      </c>
      <c r="S5" s="144">
        <f ca="1">T5/U5</f>
        <v>0.15621598291345312</v>
      </c>
      <c r="T5" s="30">
        <f ca="1">SUM(I10:I12,I17:I19,I24:I30,I35:I44,I49:I54,I59:I61)+Q5</f>
        <v>35889.944097000014</v>
      </c>
      <c r="U5" s="135">
        <f>SUM(P10:P12, P24:P30,P17:P19,P35:P44, P49:P54, P59:P61)</f>
        <v>229745.66000000003</v>
      </c>
      <c r="V5" s="136"/>
      <c r="W5" s="79"/>
      <c r="X5" s="79"/>
    </row>
    <row r="6" spans="1:24" ht="16.2" customHeight="1" thickBot="1" x14ac:dyDescent="0.4">
      <c r="A6" s="79"/>
      <c r="B6" s="38" t="str">
        <f t="shared" ca="1" si="0"/>
        <v>HOLD</v>
      </c>
      <c r="C6" s="39">
        <v>60</v>
      </c>
      <c r="D6" s="37" cm="1">
        <f t="array" aca="1" ref="D6" ca="1">_FV(G4,"Change (%)",TRUE)</f>
        <v>-6.5461000000000005E-2</v>
      </c>
      <c r="E6" s="36" cm="1">
        <f t="array" aca="1" ref="E6" ca="1">_FV(G4,"Price")</f>
        <v>106.93</v>
      </c>
      <c r="F6" s="100" t="s">
        <v>53</v>
      </c>
      <c r="G6" s="83" t="e" vm="7">
        <v>#VALUE!</v>
      </c>
      <c r="H6" s="78"/>
      <c r="I6" s="79"/>
      <c r="J6" s="147"/>
      <c r="K6" s="142"/>
      <c r="L6" s="142"/>
      <c r="M6" s="143"/>
      <c r="N6" s="81"/>
      <c r="O6" s="81"/>
      <c r="P6" s="81"/>
      <c r="Q6" s="111">
        <f ca="1">Q5/M2</f>
        <v>2239.3324948618056</v>
      </c>
      <c r="R6" s="33">
        <f ca="1">R5/M2</f>
        <v>16949.703978649643</v>
      </c>
      <c r="S6" s="145"/>
      <c r="T6" s="34">
        <f ca="1">T5/M2</f>
        <v>11009.523021258325</v>
      </c>
      <c r="U6" s="131">
        <f ca="1">U5/M2</f>
        <v>70476.29068376332</v>
      </c>
      <c r="V6" s="132"/>
      <c r="W6" s="79"/>
      <c r="X6" s="79"/>
    </row>
    <row r="7" spans="1:24" ht="16.2" thickBot="1" x14ac:dyDescent="0.4">
      <c r="A7" s="79"/>
      <c r="B7" s="38" t="str">
        <f ca="1">IF(E7-C7&lt;=0,"BUY","HOLD")</f>
        <v>HOLD</v>
      </c>
      <c r="C7" s="39">
        <v>100</v>
      </c>
      <c r="D7" s="37" cm="1">
        <f t="array" aca="1" ref="D7" ca="1">_FV(G5,"Change (%)",TRUE)</f>
        <v>-1.6081999999999999E-2</v>
      </c>
      <c r="E7" s="36" cm="1">
        <f t="array" aca="1" ref="E7" ca="1">_FV(G5,"Price")</f>
        <v>120.53</v>
      </c>
      <c r="F7" s="100" t="s">
        <v>44</v>
      </c>
      <c r="G7" s="83" t="e" vm="8">
        <v>#VALUE!</v>
      </c>
      <c r="H7" s="78"/>
      <c r="I7" s="79"/>
      <c r="J7" s="79"/>
      <c r="K7" s="79"/>
      <c r="L7" s="79"/>
      <c r="M7" s="80"/>
      <c r="N7" s="81"/>
      <c r="O7" s="81"/>
      <c r="P7" s="81"/>
      <c r="Q7" s="82"/>
      <c r="R7" s="74"/>
      <c r="S7" s="75"/>
      <c r="T7" s="74"/>
      <c r="U7" s="76"/>
      <c r="V7" s="76"/>
      <c r="W7" s="79"/>
      <c r="X7" s="79"/>
    </row>
    <row r="8" spans="1:24" ht="15.6" x14ac:dyDescent="0.35">
      <c r="A8" s="79"/>
      <c r="B8" s="44" t="str">
        <f ca="1">IF(E8-C8&lt;=0,"BUY","HOLD")</f>
        <v>HOLD</v>
      </c>
      <c r="C8" s="45">
        <v>60</v>
      </c>
      <c r="D8" s="46" cm="1">
        <f t="array" aca="1" ref="D8" ca="1">_FV(G6,"Change (%)",TRUE)</f>
        <v>-2.6446999999999998E-2</v>
      </c>
      <c r="E8" s="47" cm="1">
        <f t="array" aca="1" ref="E8" ca="1">_FV(G6,"Price")</f>
        <v>66.260000000000005</v>
      </c>
      <c r="F8" s="101" t="s">
        <v>35</v>
      </c>
      <c r="G8" s="83" t="e" vm="9">
        <v>#VALUE!</v>
      </c>
      <c r="H8" s="125" t="s">
        <v>59</v>
      </c>
      <c r="I8" s="126"/>
      <c r="J8" s="126"/>
      <c r="K8" s="126"/>
      <c r="L8" s="126"/>
      <c r="M8" s="126"/>
      <c r="N8" s="126"/>
      <c r="O8" s="126"/>
      <c r="P8" s="126"/>
      <c r="Q8" s="126"/>
      <c r="R8" s="126"/>
      <c r="S8" s="126"/>
      <c r="T8" s="126"/>
      <c r="U8" s="126"/>
      <c r="V8" s="127"/>
      <c r="W8" s="79"/>
      <c r="X8" s="79"/>
    </row>
    <row r="9" spans="1:24" ht="15.6" x14ac:dyDescent="0.35">
      <c r="A9" s="79"/>
      <c r="B9" s="38" t="str">
        <f ca="1">IF(E9-C9&lt;=0,"BUY","HOLD")</f>
        <v>HOLD</v>
      </c>
      <c r="C9" s="39">
        <v>80</v>
      </c>
      <c r="D9" s="37" cm="1">
        <f t="array" aca="1" ref="D9" ca="1">_FV(G7,"Change (%)",TRUE)</f>
        <v>-0.108085</v>
      </c>
      <c r="E9" s="36" cm="1">
        <f t="array" aca="1" ref="E9" ca="1">_FV(G7,"Price")</f>
        <v>127.08</v>
      </c>
      <c r="F9" s="100" t="s">
        <v>36</v>
      </c>
      <c r="G9" s="83" t="e" vm="10">
        <v>#VALUE!</v>
      </c>
      <c r="H9" s="77" t="s">
        <v>65</v>
      </c>
      <c r="I9" s="1" t="s">
        <v>66</v>
      </c>
      <c r="J9" s="1" t="s">
        <v>64</v>
      </c>
      <c r="K9" s="1" t="s">
        <v>7</v>
      </c>
      <c r="L9" s="1" t="s">
        <v>6</v>
      </c>
      <c r="M9" s="1" t="s">
        <v>4</v>
      </c>
      <c r="N9" s="1" t="s">
        <v>49</v>
      </c>
      <c r="O9" s="1" t="s">
        <v>69</v>
      </c>
      <c r="P9" s="1" t="s">
        <v>63</v>
      </c>
      <c r="Q9" s="1" t="s">
        <v>3</v>
      </c>
      <c r="R9" s="1" t="s">
        <v>2</v>
      </c>
      <c r="S9" s="1" t="s">
        <v>1</v>
      </c>
      <c r="T9" s="1" t="s">
        <v>0</v>
      </c>
      <c r="U9" s="1"/>
      <c r="V9" s="53" t="s">
        <v>5</v>
      </c>
      <c r="W9" s="79"/>
      <c r="X9" s="79"/>
    </row>
    <row r="10" spans="1:24" ht="15.6" x14ac:dyDescent="0.35">
      <c r="A10" s="79"/>
      <c r="B10" s="38" t="str">
        <f ca="1">IF(E10-C10&lt;=0,"BUY","HOLD")</f>
        <v>HOLD</v>
      </c>
      <c r="C10" s="39">
        <v>120</v>
      </c>
      <c r="D10" s="37" cm="1">
        <f t="array" aca="1" ref="D10" ca="1">_FV(G8,"Change (%)",TRUE)</f>
        <v>-7.2679999999999995E-2</v>
      </c>
      <c r="E10" s="36" cm="1">
        <f t="array" aca="1" ref="E10" ca="1">_FV(G8,"Price")</f>
        <v>237.7</v>
      </c>
      <c r="F10" s="100" t="s">
        <v>18</v>
      </c>
      <c r="G10" s="83" t="e" vm="11">
        <v>#VALUE!</v>
      </c>
      <c r="H10" s="52">
        <f ca="1">(L10-R10)/R10</f>
        <v>4.1925920381124485E-2</v>
      </c>
      <c r="I10" s="21">
        <f ca="1">(L10*S10-P10)</f>
        <v>943.76252999999997</v>
      </c>
      <c r="J10" s="2" cm="1">
        <f t="array" aca="1" ref="J10" ca="1">_FV(U10,"Change (%)",TRUE)</f>
        <v>-1.1636000000000001E-2</v>
      </c>
      <c r="K10" s="21">
        <f ca="1">J10*Q10</f>
        <v>-272.91077343908</v>
      </c>
      <c r="L10" s="22" cm="1">
        <f t="array" aca="1" ref="L10" ca="1">_FV(U10,"Price")*M2</f>
        <v>2345.4002530000002</v>
      </c>
      <c r="M10" s="8">
        <f>P10/$U$5</f>
        <v>9.7978956381591709E-2</v>
      </c>
      <c r="N10" s="3"/>
      <c r="O10" s="3" t="s">
        <v>59</v>
      </c>
      <c r="P10" s="21">
        <v>22510.240000000002</v>
      </c>
      <c r="Q10" s="18">
        <f ca="1">S10*L10</f>
        <v>23454.002530000002</v>
      </c>
      <c r="R10" s="18">
        <f>225102.4/100</f>
        <v>2251.0239999999999</v>
      </c>
      <c r="S10" s="3">
        <v>10</v>
      </c>
      <c r="T10" s="94">
        <v>1159250</v>
      </c>
      <c r="U10" s="23" t="e" vm="12">
        <v>#VALUE!</v>
      </c>
      <c r="V10" s="53">
        <v>1</v>
      </c>
      <c r="W10" s="79"/>
      <c r="X10" s="79"/>
    </row>
    <row r="11" spans="1:24" ht="15.6" x14ac:dyDescent="0.35">
      <c r="A11" s="79"/>
      <c r="B11" s="38" t="str">
        <f t="shared" ref="B11:B14" ca="1" si="1">IF(E11-C11&lt;=0,"BUY","HOLD")</f>
        <v>HOLD</v>
      </c>
      <c r="C11" s="39">
        <v>70</v>
      </c>
      <c r="D11" s="37" cm="1">
        <f t="array" aca="1" ref="D11" ca="1">_FV(G9,"Change (%)",TRUE)</f>
        <v>-6.8387000000000003E-2</v>
      </c>
      <c r="E11" s="36" cm="1">
        <f t="array" aca="1" ref="E11" ca="1">_FV(G9,"Price")</f>
        <v>175.05</v>
      </c>
      <c r="F11" s="100" t="s">
        <v>45</v>
      </c>
      <c r="G11" s="83" t="e" vm="13">
        <v>#VALUE!</v>
      </c>
      <c r="H11" s="52">
        <f ca="1">(L11-R11)/R11</f>
        <v>5.3488146835684834E-2</v>
      </c>
      <c r="I11" s="21">
        <f ca="1">(L11*S11-P11)</f>
        <v>1342.2200000000012</v>
      </c>
      <c r="J11" s="2" cm="1">
        <f t="array" aca="1" ref="J11" ca="1">_FV(U11,"Change (%)",TRUE)</f>
        <v>-1.586E-3</v>
      </c>
      <c r="K11" s="21">
        <f ca="1">J11*Q11</f>
        <v>-41.927495999999998</v>
      </c>
      <c r="L11" s="22" cm="1">
        <f t="array" aca="1" ref="L11" ca="1">_FV(U11,"Price")/100</f>
        <v>4406</v>
      </c>
      <c r="M11" s="8">
        <f>P11/$U$5</f>
        <v>0.10922417424555482</v>
      </c>
      <c r="N11" s="3"/>
      <c r="O11" s="3" t="s">
        <v>59</v>
      </c>
      <c r="P11" s="21">
        <v>25093.78</v>
      </c>
      <c r="Q11" s="18">
        <f ca="1">S11*L11</f>
        <v>26436</v>
      </c>
      <c r="R11" s="18">
        <f>418229.67/100</f>
        <v>4182.2966999999999</v>
      </c>
      <c r="S11" s="3">
        <v>6</v>
      </c>
      <c r="T11" s="94">
        <v>1183441</v>
      </c>
      <c r="U11" s="23" t="e" vm="14">
        <v>#VALUE!</v>
      </c>
      <c r="V11" s="53">
        <v>2</v>
      </c>
      <c r="W11" s="79"/>
      <c r="X11" s="79"/>
    </row>
    <row r="12" spans="1:24" ht="16.2" thickBot="1" x14ac:dyDescent="0.4">
      <c r="A12" s="79"/>
      <c r="B12" s="38" t="str">
        <f t="shared" ca="1" si="1"/>
        <v>HOLD</v>
      </c>
      <c r="C12" s="39">
        <v>230</v>
      </c>
      <c r="D12" s="37" cm="1">
        <f t="array" aca="1" ref="D12" ca="1">_FV(G10,"Change (%)",TRUE)</f>
        <v>-5.2398E-2</v>
      </c>
      <c r="E12" s="36" cm="1">
        <f t="array" aca="1" ref="E12" ca="1">_FV(G10,"Price")</f>
        <v>239.44</v>
      </c>
      <c r="F12" s="100" t="s">
        <v>46</v>
      </c>
      <c r="G12" s="83" t="e" vm="15">
        <v>#VALUE!</v>
      </c>
      <c r="H12" s="54">
        <f ca="1">(L12-R12)/R12</f>
        <v>0.1951348182883938</v>
      </c>
      <c r="I12" s="87">
        <f ca="1">(L12*S12*M2-P12)</f>
        <v>1422.9103300000024</v>
      </c>
      <c r="J12" s="62" cm="1">
        <f t="array" aca="1" ref="J12" ca="1">_FV(U12,"Change (%)",TRUE)</f>
        <v>-1.8627000000000001E-2</v>
      </c>
      <c r="K12" s="87">
        <f ca="1">J12*Q12*$M$2</f>
        <v>-371.41921955691004</v>
      </c>
      <c r="L12" s="56" cm="1">
        <f t="array" aca="1" ref="L12" ca="1">_FV(U12,"Price")</f>
        <v>611.66999999999996</v>
      </c>
      <c r="M12" s="57">
        <f>P12/$U$5</f>
        <v>8.0597474616060191E-2</v>
      </c>
      <c r="N12" s="58"/>
      <c r="O12" s="58" t="s">
        <v>59</v>
      </c>
      <c r="P12" s="87">
        <v>18516.919999999998</v>
      </c>
      <c r="Q12" s="59">
        <f ca="1">L12*S12</f>
        <v>6116.7</v>
      </c>
      <c r="R12" s="59">
        <v>511.8</v>
      </c>
      <c r="S12" s="58">
        <v>10</v>
      </c>
      <c r="T12" s="95" t="s">
        <v>20</v>
      </c>
      <c r="U12" s="60" t="e" vm="16">
        <v>#VALUE!</v>
      </c>
      <c r="V12" s="61">
        <v>3</v>
      </c>
      <c r="W12" s="79"/>
      <c r="X12" s="79"/>
    </row>
    <row r="13" spans="1:24" ht="15.6" x14ac:dyDescent="0.35">
      <c r="A13" s="79"/>
      <c r="B13" s="38" t="str">
        <f t="shared" ca="1" si="1"/>
        <v>HOLD</v>
      </c>
      <c r="C13" s="39">
        <v>80</v>
      </c>
      <c r="D13" s="37" cm="1">
        <f t="array" aca="1" ref="D13" ca="1">_FV(G11,"Change (%)",TRUE)</f>
        <v>-6.3610000000000003E-3</v>
      </c>
      <c r="E13" s="36" cm="1">
        <f t="array" aca="1" ref="E13" ca="1">_FV(G11,"Price")</f>
        <v>92.16</v>
      </c>
      <c r="F13" s="100" t="s">
        <v>17</v>
      </c>
      <c r="G13" s="83" t="e" vm="17">
        <v>#VALUE!</v>
      </c>
      <c r="H13" s="128"/>
      <c r="I13" s="128"/>
      <c r="J13" s="128"/>
      <c r="K13" s="128"/>
      <c r="L13" s="128"/>
      <c r="M13" s="128"/>
      <c r="N13" s="128"/>
      <c r="O13" s="128"/>
      <c r="P13" s="128"/>
      <c r="Q13" s="128"/>
      <c r="R13" s="128"/>
      <c r="S13" s="128"/>
      <c r="T13" s="128"/>
      <c r="U13" s="128"/>
      <c r="V13" s="128"/>
      <c r="W13" s="79"/>
      <c r="X13" s="79"/>
    </row>
    <row r="14" spans="1:24" ht="16.2" thickBot="1" x14ac:dyDescent="0.4">
      <c r="A14" s="79"/>
      <c r="B14" s="38" t="str">
        <f t="shared" ca="1" si="1"/>
        <v>HOLD</v>
      </c>
      <c r="C14" s="39">
        <v>120</v>
      </c>
      <c r="D14" s="37" cm="1">
        <f t="array" aca="1" ref="D14" ca="1">_FV(G12,"Change (%)",TRUE)</f>
        <v>-3.6525000000000002E-2</v>
      </c>
      <c r="E14" s="36" cm="1">
        <f t="array" aca="1" ref="E14" ca="1">_FV(G12,"Price")</f>
        <v>188.08</v>
      </c>
      <c r="F14" s="100" t="s">
        <v>11</v>
      </c>
      <c r="G14" s="83" t="e" vm="18">
        <v>#VALUE!</v>
      </c>
      <c r="H14" s="128"/>
      <c r="I14" s="128"/>
      <c r="J14" s="128"/>
      <c r="K14" s="128"/>
      <c r="L14" s="128"/>
      <c r="M14" s="128"/>
      <c r="N14" s="128"/>
      <c r="O14" s="128"/>
      <c r="P14" s="128"/>
      <c r="Q14" s="128"/>
      <c r="R14" s="128"/>
      <c r="S14" s="128"/>
      <c r="T14" s="128"/>
      <c r="U14" s="128"/>
      <c r="V14" s="128"/>
      <c r="W14" s="79"/>
      <c r="X14" s="79"/>
    </row>
    <row r="15" spans="1:24" ht="15.6" x14ac:dyDescent="0.35">
      <c r="A15" s="79"/>
      <c r="B15" s="38" t="str">
        <f ca="1">IF(E15-C15&lt;=0,"BUY","HOLD")</f>
        <v>HOLD</v>
      </c>
      <c r="C15" s="39">
        <v>100</v>
      </c>
      <c r="D15" s="37" cm="1">
        <f t="array" aca="1" ref="D15" ca="1">_FV(G13,"Change (%)",TRUE)</f>
        <v>-4.3935000000000002E-2</v>
      </c>
      <c r="E15" s="36" cm="1">
        <f t="array" aca="1" ref="E15" ca="1">_FV(G13,"Price")</f>
        <v>220.22</v>
      </c>
      <c r="F15" s="100" t="s">
        <v>15</v>
      </c>
      <c r="H15" s="125" t="s">
        <v>58</v>
      </c>
      <c r="I15" s="126"/>
      <c r="J15" s="126"/>
      <c r="K15" s="126"/>
      <c r="L15" s="126"/>
      <c r="M15" s="126"/>
      <c r="N15" s="126"/>
      <c r="O15" s="126"/>
      <c r="P15" s="126"/>
      <c r="Q15" s="126"/>
      <c r="R15" s="126"/>
      <c r="S15" s="126"/>
      <c r="T15" s="126"/>
      <c r="U15" s="126"/>
      <c r="V15" s="127"/>
      <c r="W15" s="79"/>
      <c r="X15" s="79"/>
    </row>
    <row r="16" spans="1:24" ht="16.2" thickBot="1" x14ac:dyDescent="0.4">
      <c r="A16" s="79"/>
      <c r="B16" s="25" t="str">
        <f ca="1">IF(E16-C16&lt;=0,"BUY","HOLD")</f>
        <v>HOLD</v>
      </c>
      <c r="C16" s="40">
        <v>180</v>
      </c>
      <c r="D16" s="41" cm="1">
        <f t="array" aca="1" ref="D16" ca="1">_FV(G14,"Change (%)",TRUE)</f>
        <v>-1.5121000000000001E-2</v>
      </c>
      <c r="E16" s="26" cm="1">
        <f t="array" aca="1" ref="E16" ca="1">_FV(G14,"Price")</f>
        <v>289.2</v>
      </c>
      <c r="F16" s="102" t="s">
        <v>19</v>
      </c>
      <c r="G16" s="83"/>
      <c r="H16" s="77" t="s">
        <v>65</v>
      </c>
      <c r="I16" s="1" t="s">
        <v>66</v>
      </c>
      <c r="J16" s="1" t="s">
        <v>64</v>
      </c>
      <c r="K16" s="1" t="s">
        <v>7</v>
      </c>
      <c r="L16" s="1" t="s">
        <v>6</v>
      </c>
      <c r="M16" s="1" t="s">
        <v>4</v>
      </c>
      <c r="N16" s="1" t="s">
        <v>49</v>
      </c>
      <c r="O16" s="1"/>
      <c r="P16" s="1" t="s">
        <v>63</v>
      </c>
      <c r="Q16" s="1" t="s">
        <v>3</v>
      </c>
      <c r="R16" s="1" t="s">
        <v>2</v>
      </c>
      <c r="S16" s="1" t="s">
        <v>1</v>
      </c>
      <c r="T16" s="1" t="s">
        <v>0</v>
      </c>
      <c r="U16" s="1"/>
      <c r="V16" s="53" t="s">
        <v>5</v>
      </c>
      <c r="W16" s="79"/>
      <c r="X16" s="79"/>
    </row>
    <row r="17" spans="1:26" ht="15.6" x14ac:dyDescent="0.35">
      <c r="A17" s="79"/>
      <c r="B17" s="79"/>
      <c r="C17" s="79"/>
      <c r="D17" s="79"/>
      <c r="E17" s="79"/>
      <c r="F17" s="79"/>
      <c r="G17" s="83"/>
      <c r="H17" s="52">
        <f ca="1">(L17-R17)/R17</f>
        <v>0.64209922569544031</v>
      </c>
      <c r="I17" s="88">
        <f ca="1">(L17*S17*$M$2-P17)</f>
        <v>1706.6562199999998</v>
      </c>
      <c r="J17" s="4" cm="1">
        <f t="array" aca="1" ref="J17" ca="1">_FV(U17,"Change (%)",TRUE)</f>
        <v>-2.8174000000000001E-2</v>
      </c>
      <c r="K17" s="21">
        <f ca="1">J17*Q17*$M$2</f>
        <v>-157.77034914228003</v>
      </c>
      <c r="L17" s="48" cm="1">
        <f t="array" aca="1" ref="L17" ca="1">_FV(U17,"Price")</f>
        <v>57.26</v>
      </c>
      <c r="M17" s="8">
        <f>P17/$U$5</f>
        <v>1.694569551390002E-2</v>
      </c>
      <c r="N17" s="3"/>
      <c r="O17" s="3" t="s">
        <v>58</v>
      </c>
      <c r="P17" s="21">
        <v>3893.2</v>
      </c>
      <c r="Q17" s="14">
        <f ca="1">L17*S17</f>
        <v>1717.8</v>
      </c>
      <c r="R17" s="14">
        <v>34.869999999999997</v>
      </c>
      <c r="S17" s="3">
        <v>30</v>
      </c>
      <c r="T17" s="94" t="s">
        <v>22</v>
      </c>
      <c r="U17" s="50" t="e" vm="19">
        <v>#VALUE!</v>
      </c>
      <c r="V17" s="51">
        <v>4</v>
      </c>
      <c r="W17" s="79"/>
      <c r="X17" s="79"/>
    </row>
    <row r="18" spans="1:26" ht="15.6" x14ac:dyDescent="0.35">
      <c r="A18" s="79"/>
      <c r="B18" s="79"/>
      <c r="C18" s="79"/>
      <c r="D18" s="79"/>
      <c r="E18" s="79"/>
      <c r="F18" s="79"/>
      <c r="G18" s="83"/>
      <c r="H18" s="52">
        <f ca="1">(L18-R18)/R18</f>
        <v>0.40213123948401586</v>
      </c>
      <c r="I18" s="88">
        <f ca="1">(L18*S18*$M$2-P18)</f>
        <v>929.48000000000047</v>
      </c>
      <c r="J18" s="4" cm="1">
        <f t="array" aca="1" ref="J18" ca="1">_FV(U18,"Change (%)",TRUE)</f>
        <v>-4.1410999999999996E-2</v>
      </c>
      <c r="K18" s="21">
        <f ca="1">J18*Q18*$M$2</f>
        <v>-202.49357834999998</v>
      </c>
      <c r="L18" s="48" cm="1">
        <f t="array" aca="1" ref="L18" ca="1">_FV(U18,"Price")</f>
        <v>25</v>
      </c>
      <c r="M18" s="8">
        <f t="shared" ref="M18:M19" si="2">P18/$U$5</f>
        <v>1.7238062298978788E-2</v>
      </c>
      <c r="N18" s="3"/>
      <c r="O18" s="3" t="s">
        <v>58</v>
      </c>
      <c r="P18" s="21">
        <v>3960.37</v>
      </c>
      <c r="Q18" s="14">
        <f ca="1">L18*S18</f>
        <v>1500</v>
      </c>
      <c r="R18" s="14">
        <v>17.829999999999998</v>
      </c>
      <c r="S18" s="3">
        <v>60</v>
      </c>
      <c r="T18" s="94" t="s">
        <v>21</v>
      </c>
      <c r="U18" s="24" t="e" vm="20">
        <v>#VALUE!</v>
      </c>
      <c r="V18" s="53">
        <v>5</v>
      </c>
      <c r="W18" s="79"/>
      <c r="X18" s="79"/>
    </row>
    <row r="19" spans="1:26" ht="16.2" thickBot="1" x14ac:dyDescent="0.4">
      <c r="A19" s="79"/>
      <c r="B19" s="79"/>
      <c r="C19" s="79"/>
      <c r="D19" s="79"/>
      <c r="E19" s="79"/>
      <c r="F19" s="79"/>
      <c r="G19" s="83"/>
      <c r="H19" s="54">
        <f t="shared" ref="H19" ca="1" si="3">(L19-R19)/R19</f>
        <v>-0.17863705972434921</v>
      </c>
      <c r="I19" s="89">
        <f t="shared" ref="I19" ca="1" si="4">(L19*S19*$M$2-P19)</f>
        <v>-1700.0910670000012</v>
      </c>
      <c r="J19" s="55" cm="1">
        <f t="array" aca="1" ref="J19" ca="1">_FV(U19,"Change (%)",TRUE)</f>
        <v>-4.7336000000000003E-2</v>
      </c>
      <c r="K19" s="87">
        <f ca="1">J19*Q19*$M$2</f>
        <v>-347.61091877248799</v>
      </c>
      <c r="L19" s="56" cm="1">
        <f t="array" aca="1" ref="L19" ca="1">_FV(U19,"Price")</f>
        <v>16.090499999999999</v>
      </c>
      <c r="M19" s="57">
        <f t="shared" si="2"/>
        <v>3.9363398638302891E-2</v>
      </c>
      <c r="N19" s="58"/>
      <c r="O19" s="58" t="s">
        <v>58</v>
      </c>
      <c r="P19" s="87">
        <v>9043.57</v>
      </c>
      <c r="Q19" s="59">
        <f t="shared" ref="Q19" ca="1" si="5">L19*S19</f>
        <v>2252.6699999999996</v>
      </c>
      <c r="R19" s="110">
        <v>19.59</v>
      </c>
      <c r="S19" s="58">
        <v>140</v>
      </c>
      <c r="T19" s="95" t="s">
        <v>52</v>
      </c>
      <c r="U19" s="60" t="e" vm="21">
        <v>#VALUE!</v>
      </c>
      <c r="V19" s="61">
        <v>6</v>
      </c>
      <c r="W19" s="79"/>
      <c r="X19" s="79"/>
      <c r="Z19" s="93"/>
    </row>
    <row r="20" spans="1:26" ht="15.6" x14ac:dyDescent="0.35">
      <c r="A20" s="79"/>
      <c r="B20" s="79"/>
      <c r="C20" s="115" t="s">
        <v>83</v>
      </c>
      <c r="D20" s="116" t="s">
        <v>69</v>
      </c>
      <c r="F20" s="79"/>
      <c r="G20" s="79"/>
      <c r="H20" s="128"/>
      <c r="I20" s="128"/>
      <c r="J20" s="128"/>
      <c r="K20" s="128"/>
      <c r="L20" s="128"/>
      <c r="M20" s="128"/>
      <c r="N20" s="128"/>
      <c r="O20" s="128"/>
      <c r="P20" s="128"/>
      <c r="Q20" s="128"/>
      <c r="R20" s="128"/>
      <c r="S20" s="128"/>
      <c r="T20" s="128"/>
      <c r="U20" s="128"/>
      <c r="V20" s="128"/>
      <c r="W20" s="79"/>
      <c r="X20" s="79"/>
    </row>
    <row r="21" spans="1:26" ht="14.4" customHeight="1" thickBot="1" x14ac:dyDescent="0.4">
      <c r="A21" s="79"/>
      <c r="B21" s="79"/>
      <c r="C21" s="112">
        <f t="shared" ref="C21:C35" si="6">SUMIF(O:O, D21, M:M)</f>
        <v>0.29528701434447113</v>
      </c>
      <c r="D21" s="117" t="s">
        <v>59</v>
      </c>
      <c r="E21" s="79"/>
      <c r="F21" s="79"/>
      <c r="G21" s="79"/>
      <c r="H21" s="128"/>
      <c r="I21" s="128"/>
      <c r="J21" s="128"/>
      <c r="K21" s="128"/>
      <c r="L21" s="128"/>
      <c r="M21" s="128"/>
      <c r="N21" s="128"/>
      <c r="O21" s="128"/>
      <c r="P21" s="128"/>
      <c r="Q21" s="128"/>
      <c r="R21" s="128"/>
      <c r="S21" s="128"/>
      <c r="T21" s="128"/>
      <c r="U21" s="128"/>
      <c r="V21" s="128"/>
      <c r="W21" s="79"/>
      <c r="X21" s="79"/>
    </row>
    <row r="22" spans="1:26" ht="16.2" customHeight="1" x14ac:dyDescent="0.35">
      <c r="A22" s="79"/>
      <c r="B22" s="79"/>
      <c r="C22" s="112">
        <f t="shared" si="6"/>
        <v>7.3547156451181706E-2</v>
      </c>
      <c r="D22" s="117" t="s">
        <v>58</v>
      </c>
      <c r="E22" s="79"/>
      <c r="F22" s="79"/>
      <c r="G22" s="79"/>
      <c r="H22" s="125" t="s">
        <v>57</v>
      </c>
      <c r="I22" s="126"/>
      <c r="J22" s="126"/>
      <c r="K22" s="126"/>
      <c r="L22" s="126"/>
      <c r="M22" s="126"/>
      <c r="N22" s="126"/>
      <c r="O22" s="126"/>
      <c r="P22" s="126"/>
      <c r="Q22" s="126"/>
      <c r="R22" s="126"/>
      <c r="S22" s="126"/>
      <c r="T22" s="126"/>
      <c r="U22" s="126"/>
      <c r="V22" s="127"/>
      <c r="W22" s="79"/>
      <c r="X22" s="79"/>
    </row>
    <row r="23" spans="1:26" ht="15.6" customHeight="1" x14ac:dyDescent="0.35">
      <c r="A23" s="79"/>
      <c r="B23" s="79"/>
      <c r="C23" s="112">
        <f t="shared" si="6"/>
        <v>0.18486595133070191</v>
      </c>
      <c r="D23" s="117" t="s">
        <v>71</v>
      </c>
      <c r="E23" s="79"/>
      <c r="F23" s="79"/>
      <c r="G23" s="79"/>
      <c r="H23" s="77" t="s">
        <v>65</v>
      </c>
      <c r="I23" s="1" t="s">
        <v>66</v>
      </c>
      <c r="J23" s="1" t="s">
        <v>64</v>
      </c>
      <c r="K23" s="1" t="s">
        <v>7</v>
      </c>
      <c r="L23" s="1" t="s">
        <v>6</v>
      </c>
      <c r="M23" s="1" t="s">
        <v>4</v>
      </c>
      <c r="N23" s="1" t="s">
        <v>49</v>
      </c>
      <c r="O23" s="1"/>
      <c r="P23" s="1" t="s">
        <v>63</v>
      </c>
      <c r="Q23" s="1" t="s">
        <v>3</v>
      </c>
      <c r="R23" s="1" t="s">
        <v>2</v>
      </c>
      <c r="S23" s="1" t="s">
        <v>1</v>
      </c>
      <c r="T23" s="1" t="s">
        <v>0</v>
      </c>
      <c r="U23" s="1"/>
      <c r="V23" s="53" t="s">
        <v>5</v>
      </c>
      <c r="W23" s="79"/>
      <c r="X23" s="79"/>
    </row>
    <row r="24" spans="1:26" ht="16.2" customHeight="1" x14ac:dyDescent="0.35">
      <c r="A24" s="79"/>
      <c r="B24" s="79"/>
      <c r="C24" s="112">
        <f t="shared" si="6"/>
        <v>1.9133810841084002E-2</v>
      </c>
      <c r="D24" s="117" t="s">
        <v>73</v>
      </c>
      <c r="E24" s="79"/>
      <c r="F24" s="79"/>
      <c r="G24" s="79"/>
      <c r="H24" s="52">
        <f ca="1">(L24-R24)/R24</f>
        <v>0.16331610185717024</v>
      </c>
      <c r="I24" s="21">
        <f ca="1">(L24*S24*$M$2-P24)</f>
        <v>1812.0563039999979</v>
      </c>
      <c r="J24" s="2" cm="1">
        <f t="array" aca="1" ref="J24" ca="1">_FV(U24,"Change (%)",TRUE)</f>
        <v>-2.8617E-2</v>
      </c>
      <c r="K24" s="21">
        <f ca="1">J24*Q24*$M$2</f>
        <v>-544.14842902156806</v>
      </c>
      <c r="L24" s="48" cm="1">
        <f t="array" aca="1" ref="L24" ca="1">_FV(U24,"Price")</f>
        <v>243.04</v>
      </c>
      <c r="M24" s="8">
        <f t="shared" ref="M24:M30" si="7">P24/$U$5</f>
        <v>7.4877627721019843E-2</v>
      </c>
      <c r="N24" s="3"/>
      <c r="O24" s="3" t="s">
        <v>70</v>
      </c>
      <c r="P24" s="21">
        <v>17202.810000000001</v>
      </c>
      <c r="Q24" s="14">
        <f ca="1">L24*S24</f>
        <v>5832.96</v>
      </c>
      <c r="R24" s="14">
        <v>208.92</v>
      </c>
      <c r="S24" s="3">
        <v>24</v>
      </c>
      <c r="T24" s="94" t="s">
        <v>9</v>
      </c>
      <c r="U24" s="24" t="e" vm="22">
        <v>#VALUE!</v>
      </c>
      <c r="V24" s="53">
        <v>7</v>
      </c>
      <c r="W24" s="79"/>
      <c r="X24" s="79"/>
    </row>
    <row r="25" spans="1:26" ht="15.6" customHeight="1" x14ac:dyDescent="0.35">
      <c r="A25" s="79"/>
      <c r="B25" s="79"/>
      <c r="C25" s="112">
        <f t="shared" si="6"/>
        <v>2.813406790796396E-2</v>
      </c>
      <c r="D25" s="117" t="s">
        <v>80</v>
      </c>
      <c r="E25" s="79"/>
      <c r="F25" s="79"/>
      <c r="G25" s="79"/>
      <c r="H25" s="52">
        <f t="shared" ref="H25:H30" ca="1" si="8">(L25-R25)/R25</f>
        <v>0.15336426914153137</v>
      </c>
      <c r="I25" s="21">
        <f t="shared" ref="I25:I30" ca="1" si="9">(L25*S25*$M$2-P25)</f>
        <v>92.168870000001334</v>
      </c>
      <c r="J25" s="7" cm="1">
        <f t="array" aca="1" ref="J25" ca="1">_FV(U25,"Change (%)",TRUE)</f>
        <v>-1.9835999999999999E-2</v>
      </c>
      <c r="K25" s="21">
        <f t="shared" ref="K25:K30" ca="1" si="10">J25*Q25*$M$2</f>
        <v>-96.432493225320016</v>
      </c>
      <c r="L25" s="48" cm="1">
        <f t="array" aca="1" ref="L25" ca="1">_FV(U25,"Price")</f>
        <v>497.1</v>
      </c>
      <c r="M25" s="8">
        <f t="shared" si="7"/>
        <v>2.0759129900429888E-2</v>
      </c>
      <c r="N25" s="3"/>
      <c r="O25" s="3" t="s">
        <v>71</v>
      </c>
      <c r="P25" s="21">
        <v>4769.32</v>
      </c>
      <c r="Q25" s="14">
        <f t="shared" ref="Q25:Q30" ca="1" si="11">L25*S25</f>
        <v>1491.3000000000002</v>
      </c>
      <c r="R25" s="42">
        <v>431</v>
      </c>
      <c r="S25" s="3">
        <v>3</v>
      </c>
      <c r="T25" s="94" t="s">
        <v>8</v>
      </c>
      <c r="U25" s="17" t="e" vm="23">
        <v>#VALUE!</v>
      </c>
      <c r="V25" s="53">
        <v>8</v>
      </c>
      <c r="W25" s="79"/>
      <c r="X25" s="79"/>
    </row>
    <row r="26" spans="1:26" ht="16.2" customHeight="1" x14ac:dyDescent="0.35">
      <c r="A26" s="79"/>
      <c r="B26" s="79"/>
      <c r="C26" s="112">
        <f t="shared" si="6"/>
        <v>1.4392524324507367E-2</v>
      </c>
      <c r="D26" s="117" t="s">
        <v>74</v>
      </c>
      <c r="E26" s="79"/>
      <c r="F26" s="79"/>
      <c r="G26" s="79"/>
      <c r="H26" s="52">
        <f t="shared" ca="1" si="8"/>
        <v>0.63705875589283667</v>
      </c>
      <c r="I26" s="21">
        <f t="shared" ca="1" si="9"/>
        <v>9850.9557499999974</v>
      </c>
      <c r="J26" s="2" cm="1">
        <f t="array" aca="1" ref="J26" ca="1">_FV(U26,"Change (%)",TRUE)</f>
        <v>1.5479999999999999E-3</v>
      </c>
      <c r="K26" s="21">
        <f t="shared" ca="1" si="10"/>
        <v>43.108233020999997</v>
      </c>
      <c r="L26" s="48" cm="1">
        <f t="array" aca="1" ref="L26" ca="1">_FV(U26,"Price")</f>
        <v>284.75</v>
      </c>
      <c r="M26" s="8">
        <f t="shared" si="7"/>
        <v>7.8333318679447525E-2</v>
      </c>
      <c r="N26" s="3"/>
      <c r="O26" s="3" t="s">
        <v>72</v>
      </c>
      <c r="P26" s="21">
        <v>17996.740000000002</v>
      </c>
      <c r="Q26" s="14">
        <f t="shared" ca="1" si="11"/>
        <v>8542.5</v>
      </c>
      <c r="R26" s="14">
        <v>173.94</v>
      </c>
      <c r="S26" s="3">
        <v>30</v>
      </c>
      <c r="T26" s="94" t="s">
        <v>12</v>
      </c>
      <c r="U26" s="17" t="e" vm="24">
        <v>#VALUE!</v>
      </c>
      <c r="V26" s="53">
        <v>9</v>
      </c>
      <c r="W26" s="79"/>
      <c r="X26" s="79"/>
    </row>
    <row r="27" spans="1:26" ht="15.6" x14ac:dyDescent="0.35">
      <c r="A27" s="79"/>
      <c r="B27" s="79"/>
      <c r="C27" s="112">
        <f t="shared" si="6"/>
        <v>1.1356688957693477E-2</v>
      </c>
      <c r="D27" s="117" t="s">
        <v>75</v>
      </c>
      <c r="E27" s="79"/>
      <c r="F27" s="79"/>
      <c r="G27" s="79"/>
      <c r="H27" s="52">
        <f t="shared" ca="1" si="8"/>
        <v>0.31927954811893866</v>
      </c>
      <c r="I27" s="21">
        <f t="shared" ca="1" si="9"/>
        <v>266.35250600000018</v>
      </c>
      <c r="J27" s="2" cm="1">
        <f t="array" aca="1" ref="J27" ca="1">_FV(U27,"Change (%)",TRUE)</f>
        <v>-2.6747E-2</v>
      </c>
      <c r="K27" s="21">
        <f t="shared" ca="1" si="10"/>
        <v>-53.966953987982009</v>
      </c>
      <c r="L27" s="48" cm="1">
        <f t="array" aca="1" ref="L27" ca="1">_FV(U27,"Price")</f>
        <v>618.94000000000005</v>
      </c>
      <c r="M27" s="8">
        <f t="shared" si="7"/>
        <v>7.6229078712520609E-3</v>
      </c>
      <c r="N27" s="3"/>
      <c r="O27" s="3" t="s">
        <v>72</v>
      </c>
      <c r="P27" s="21">
        <v>1751.33</v>
      </c>
      <c r="Q27" s="14">
        <f t="shared" ca="1" si="11"/>
        <v>618.94000000000005</v>
      </c>
      <c r="R27" s="14">
        <v>469.15</v>
      </c>
      <c r="S27" s="3">
        <v>1</v>
      </c>
      <c r="T27" s="94" t="s">
        <v>13</v>
      </c>
      <c r="U27" s="17" t="e" vm="25">
        <v>#VALUE!</v>
      </c>
      <c r="V27" s="53">
        <v>10</v>
      </c>
      <c r="W27" s="79"/>
      <c r="X27" s="79"/>
    </row>
    <row r="28" spans="1:26" ht="15.6" x14ac:dyDescent="0.35">
      <c r="A28" s="79"/>
      <c r="B28" s="79"/>
      <c r="C28" s="112">
        <f t="shared" si="6"/>
        <v>3.4172353897784176E-2</v>
      </c>
      <c r="D28" s="117" t="s">
        <v>82</v>
      </c>
      <c r="E28" s="79"/>
      <c r="F28" s="79"/>
      <c r="G28" s="79"/>
      <c r="H28" s="52">
        <f t="shared" ca="1" si="8"/>
        <v>0.96150969955571197</v>
      </c>
      <c r="I28" s="21">
        <f t="shared" ca="1" si="9"/>
        <v>3621.4320539999999</v>
      </c>
      <c r="J28" s="4" cm="1">
        <f t="array" aca="1" ref="J28" ca="1">_FV(U28,"Change (%)",TRUE)</f>
        <v>-3.4973000000000004E-2</v>
      </c>
      <c r="K28" s="21">
        <f t="shared" ca="1" si="10"/>
        <v>-305.02513512454203</v>
      </c>
      <c r="L28" s="48" cm="1">
        <f t="array" aca="1" ref="L28" ca="1">_FV(U28,"Price")</f>
        <v>445.91</v>
      </c>
      <c r="M28" s="8">
        <f t="shared" si="7"/>
        <v>2.2199766472193641E-2</v>
      </c>
      <c r="N28" s="3"/>
      <c r="O28" s="3" t="s">
        <v>71</v>
      </c>
      <c r="P28" s="21">
        <v>5100.3</v>
      </c>
      <c r="Q28" s="14">
        <f t="shared" ca="1" si="11"/>
        <v>2675.46</v>
      </c>
      <c r="R28" s="14">
        <v>227.33</v>
      </c>
      <c r="S28" s="3">
        <v>6</v>
      </c>
      <c r="T28" s="94" t="s">
        <v>10</v>
      </c>
      <c r="U28" s="17" t="e" vm="26">
        <v>#VALUE!</v>
      </c>
      <c r="V28" s="53">
        <v>11</v>
      </c>
      <c r="W28" s="79"/>
      <c r="X28" s="79"/>
    </row>
    <row r="29" spans="1:26" ht="15.6" x14ac:dyDescent="0.35">
      <c r="A29" s="79"/>
      <c r="B29" s="79"/>
      <c r="C29" s="112">
        <f t="shared" si="6"/>
        <v>3.8903411711890441E-2</v>
      </c>
      <c r="D29" s="117" t="s">
        <v>78</v>
      </c>
      <c r="E29" s="79"/>
      <c r="F29" s="79"/>
      <c r="G29" s="79"/>
      <c r="H29" s="52">
        <f t="shared" ca="1" si="8"/>
        <v>0.23165776377665151</v>
      </c>
      <c r="I29" s="21">
        <f t="shared" ca="1" si="9"/>
        <v>402.13933799999995</v>
      </c>
      <c r="J29" s="4" cm="1">
        <f t="array" aca="1" ref="J29" ca="1">_FV(U29,"Change (%)",TRUE)</f>
        <v>-1.3700000000000001E-3</v>
      </c>
      <c r="K29" s="21">
        <f t="shared" ca="1" si="10"/>
        <v>-7.22885889306</v>
      </c>
      <c r="L29" s="48" cm="1">
        <f t="array" aca="1" ref="L29" ca="1">_FV(U29,"Price")</f>
        <v>269.77</v>
      </c>
      <c r="M29" s="8">
        <f t="shared" si="7"/>
        <v>2.1216505243232882E-2</v>
      </c>
      <c r="N29" s="3"/>
      <c r="O29" s="3" t="s">
        <v>72</v>
      </c>
      <c r="P29" s="21">
        <v>4874.3999999999996</v>
      </c>
      <c r="Q29" s="14">
        <f t="shared" ca="1" si="11"/>
        <v>1618.62</v>
      </c>
      <c r="R29" s="14">
        <v>219.03</v>
      </c>
      <c r="S29" s="3">
        <v>6</v>
      </c>
      <c r="T29" s="94" t="s">
        <v>85</v>
      </c>
      <c r="U29" s="17" t="e" vm="27">
        <v>#VALUE!</v>
      </c>
      <c r="V29" s="53">
        <v>12</v>
      </c>
      <c r="W29" s="79"/>
      <c r="X29" s="79"/>
    </row>
    <row r="30" spans="1:26" ht="16.2" thickBot="1" x14ac:dyDescent="0.4">
      <c r="A30" s="79"/>
      <c r="B30" s="79"/>
      <c r="C30" s="112">
        <f t="shared" si="6"/>
        <v>0.11538629282485684</v>
      </c>
      <c r="D30" s="117" t="s">
        <v>70</v>
      </c>
      <c r="E30" s="79"/>
      <c r="F30" s="79"/>
      <c r="G30" s="79"/>
      <c r="H30" s="54">
        <f t="shared" ca="1" si="8"/>
        <v>0.69487248805983615</v>
      </c>
      <c r="I30" s="87">
        <f t="shared" ca="1" si="9"/>
        <v>1992.4699200000005</v>
      </c>
      <c r="J30" s="62" cm="1">
        <f t="array" aca="1" ref="J30" ca="1">_FV(U30,"Change (%)",TRUE)</f>
        <v>-3.6525000000000002E-2</v>
      </c>
      <c r="K30" s="87">
        <f t="shared" ca="1" si="10"/>
        <v>-223.94280757800004</v>
      </c>
      <c r="L30" s="56" cm="1">
        <f t="array" aca="1" ref="L30" ca="1">_FV(U30,"Price")</f>
        <v>188.08</v>
      </c>
      <c r="M30" s="57">
        <f t="shared" si="7"/>
        <v>1.801448610607051E-2</v>
      </c>
      <c r="N30" s="58"/>
      <c r="O30" s="58" t="s">
        <v>71</v>
      </c>
      <c r="P30" s="87">
        <v>4138.75</v>
      </c>
      <c r="Q30" s="59">
        <f t="shared" ca="1" si="11"/>
        <v>1880.8000000000002</v>
      </c>
      <c r="R30" s="59">
        <v>110.97</v>
      </c>
      <c r="S30" s="58">
        <v>10</v>
      </c>
      <c r="T30" s="95" t="s">
        <v>11</v>
      </c>
      <c r="U30" s="63" t="e" vm="15">
        <v>#VALUE!</v>
      </c>
      <c r="V30" s="61">
        <v>13</v>
      </c>
      <c r="W30" s="79"/>
      <c r="X30" s="79"/>
    </row>
    <row r="31" spans="1:26" ht="15.6" x14ac:dyDescent="0.35">
      <c r="A31" s="79"/>
      <c r="B31" s="79"/>
      <c r="C31" s="112">
        <f t="shared" si="6"/>
        <v>0.10717273179393247</v>
      </c>
      <c r="D31" s="117" t="s">
        <v>72</v>
      </c>
      <c r="E31" s="79"/>
      <c r="F31" s="79"/>
      <c r="G31" s="79"/>
      <c r="H31" s="128"/>
      <c r="I31" s="128"/>
      <c r="J31" s="128"/>
      <c r="K31" s="128"/>
      <c r="L31" s="128"/>
      <c r="M31" s="128"/>
      <c r="N31" s="128"/>
      <c r="O31" s="128"/>
      <c r="P31" s="128"/>
      <c r="Q31" s="128"/>
      <c r="R31" s="128"/>
      <c r="S31" s="128"/>
      <c r="T31" s="128"/>
      <c r="U31" s="128"/>
      <c r="V31" s="128"/>
      <c r="W31" s="79"/>
      <c r="X31" s="79"/>
    </row>
    <row r="32" spans="1:26" ht="16.2" thickBot="1" x14ac:dyDescent="0.4">
      <c r="A32" s="79"/>
      <c r="B32" s="79"/>
      <c r="C32" s="112">
        <f t="shared" si="6"/>
        <v>2.8944703460339574E-2</v>
      </c>
      <c r="D32" s="117" t="s">
        <v>81</v>
      </c>
      <c r="E32" s="79"/>
      <c r="F32" s="79"/>
      <c r="G32" s="79"/>
      <c r="H32" s="128"/>
      <c r="I32" s="128"/>
      <c r="J32" s="128"/>
      <c r="K32" s="128"/>
      <c r="L32" s="128"/>
      <c r="M32" s="128"/>
      <c r="N32" s="128"/>
      <c r="O32" s="128"/>
      <c r="P32" s="128"/>
      <c r="Q32" s="128"/>
      <c r="R32" s="128"/>
      <c r="S32" s="128"/>
      <c r="T32" s="128"/>
      <c r="U32" s="128"/>
      <c r="V32" s="128"/>
      <c r="W32" s="79"/>
      <c r="X32" s="79"/>
    </row>
    <row r="33" spans="1:24" ht="16.2" thickBot="1" x14ac:dyDescent="0.4">
      <c r="A33" s="79"/>
      <c r="B33" s="79"/>
      <c r="C33" s="112">
        <f t="shared" si="6"/>
        <v>2.5633650707482351E-2</v>
      </c>
      <c r="D33" s="117" t="s">
        <v>76</v>
      </c>
      <c r="E33" s="79"/>
      <c r="F33" s="79"/>
      <c r="G33" s="79"/>
      <c r="H33" s="122" t="s">
        <v>56</v>
      </c>
      <c r="I33" s="123"/>
      <c r="J33" s="123"/>
      <c r="K33" s="123"/>
      <c r="L33" s="123"/>
      <c r="M33" s="123"/>
      <c r="N33" s="123"/>
      <c r="O33" s="123"/>
      <c r="P33" s="123"/>
      <c r="Q33" s="123"/>
      <c r="R33" s="123"/>
      <c r="S33" s="123"/>
      <c r="T33" s="123"/>
      <c r="U33" s="123"/>
      <c r="V33" s="124"/>
      <c r="W33" s="79"/>
      <c r="X33" s="79"/>
    </row>
    <row r="34" spans="1:24" ht="15.6" x14ac:dyDescent="0.35">
      <c r="A34" s="79"/>
      <c r="B34" s="79"/>
      <c r="C34" s="112">
        <f t="shared" si="6"/>
        <v>1.4205796096431156E-2</v>
      </c>
      <c r="D34" s="117" t="s">
        <v>77</v>
      </c>
      <c r="E34" s="79"/>
      <c r="F34" s="79"/>
      <c r="G34" s="79"/>
      <c r="H34" s="119" t="s">
        <v>65</v>
      </c>
      <c r="I34" s="120" t="s">
        <v>66</v>
      </c>
      <c r="J34" s="120" t="s">
        <v>64</v>
      </c>
      <c r="K34" s="120" t="s">
        <v>7</v>
      </c>
      <c r="L34" s="120" t="s">
        <v>6</v>
      </c>
      <c r="M34" s="120" t="s">
        <v>4</v>
      </c>
      <c r="N34" s="120" t="s">
        <v>49</v>
      </c>
      <c r="O34" s="120"/>
      <c r="P34" s="120" t="s">
        <v>63</v>
      </c>
      <c r="Q34" s="120" t="s">
        <v>3</v>
      </c>
      <c r="R34" s="120" t="s">
        <v>2</v>
      </c>
      <c r="S34" s="120" t="s">
        <v>1</v>
      </c>
      <c r="T34" s="120" t="s">
        <v>0</v>
      </c>
      <c r="U34" s="120"/>
      <c r="V34" s="121" t="s">
        <v>5</v>
      </c>
      <c r="W34" s="79"/>
      <c r="X34" s="79"/>
    </row>
    <row r="35" spans="1:24" ht="15.6" x14ac:dyDescent="0.35">
      <c r="A35" s="79"/>
      <c r="B35" s="79"/>
      <c r="C35" s="112">
        <f t="shared" si="6"/>
        <v>8.8638453496792929E-3</v>
      </c>
      <c r="D35" s="117" t="s">
        <v>79</v>
      </c>
      <c r="E35" s="79"/>
      <c r="F35" s="79"/>
      <c r="G35" s="79"/>
      <c r="H35" s="52">
        <f ca="1">(L35-R35)/R35</f>
        <v>0.93610357068281469</v>
      </c>
      <c r="I35" s="21">
        <f t="shared" ref="I35:I44" ca="1" si="12">(L35*S35*$M$2-P35)</f>
        <v>7197.9160400000001</v>
      </c>
      <c r="J35" s="2" cm="1">
        <f t="array" aca="1" ref="J35" ca="1">_FV(U35,"Change (%)",TRUE)</f>
        <v>-7.2800000000000004E-2</v>
      </c>
      <c r="K35" s="21">
        <f ca="1">J35*Q35*$M$2</f>
        <v>-1210.2407437120003</v>
      </c>
      <c r="L35" s="48" cm="1">
        <f t="array" aca="1" ref="L35" ca="1">_FV(U35,"Price")</f>
        <v>92.72</v>
      </c>
      <c r="M35" s="8">
        <f t="shared" ref="M35:M36" si="13">P35/$U$5</f>
        <v>4.102915371720188E-2</v>
      </c>
      <c r="N35" s="3"/>
      <c r="O35" s="3" t="s">
        <v>71</v>
      </c>
      <c r="P35" s="21">
        <v>9426.27</v>
      </c>
      <c r="Q35" s="14">
        <f ca="1">L35*S35</f>
        <v>5099.6000000000004</v>
      </c>
      <c r="R35" s="14">
        <v>47.89</v>
      </c>
      <c r="S35" s="3">
        <v>55</v>
      </c>
      <c r="T35" s="94" t="s">
        <v>23</v>
      </c>
      <c r="U35" s="17" t="e" vm="28">
        <v>#VALUE!</v>
      </c>
      <c r="V35" s="53">
        <v>14</v>
      </c>
      <c r="W35" s="79"/>
      <c r="X35" s="79"/>
    </row>
    <row r="36" spans="1:24" ht="16.2" thickBot="1" x14ac:dyDescent="0.4">
      <c r="A36" s="79"/>
      <c r="B36" s="79"/>
      <c r="C36" s="113">
        <f>SUM(C21:C35)</f>
        <v>0.99999999999999989</v>
      </c>
      <c r="D36" s="118" t="s">
        <v>84</v>
      </c>
      <c r="E36" s="79"/>
      <c r="F36" s="79"/>
      <c r="G36" s="79"/>
      <c r="H36" s="52">
        <f t="shared" ref="H36:H44" ca="1" si="14">(L36-R36)/R36</f>
        <v>2.296116504854369</v>
      </c>
      <c r="I36" s="21">
        <f t="shared" ca="1" si="12"/>
        <v>578.69884000000002</v>
      </c>
      <c r="J36" s="2" cm="1">
        <f t="array" aca="1" ref="J36" ca="1">_FV(U36,"Change (%)",TRUE)</f>
        <v>-9.6773999999999999E-2</v>
      </c>
      <c r="K36" s="21">
        <f t="shared" ref="K36:K44" ca="1" si="15">J36*Q36*$M$2</f>
        <v>-85.682619602160003</v>
      </c>
      <c r="L36" s="48" cm="1">
        <f t="array" aca="1" ref="L36" ca="1">_FV(U36,"Price")</f>
        <v>27.16</v>
      </c>
      <c r="M36" s="8">
        <f t="shared" si="13"/>
        <v>1.3349109619742107E-3</v>
      </c>
      <c r="N36" s="3"/>
      <c r="O36" s="3" t="s">
        <v>73</v>
      </c>
      <c r="P36" s="21">
        <v>306.69</v>
      </c>
      <c r="Q36" s="14">
        <f t="shared" ref="Q36:Q44" ca="1" si="16">L36*S36</f>
        <v>271.60000000000002</v>
      </c>
      <c r="R36" s="14">
        <v>8.24</v>
      </c>
      <c r="S36" s="3">
        <v>10</v>
      </c>
      <c r="T36" s="94" t="s">
        <v>14</v>
      </c>
      <c r="U36" s="17" t="e" vm="29">
        <v>#VALUE!</v>
      </c>
      <c r="V36" s="53">
        <v>15</v>
      </c>
      <c r="W36" s="79"/>
      <c r="X36" s="79"/>
    </row>
    <row r="37" spans="1:24" ht="15.6" x14ac:dyDescent="0.35">
      <c r="A37" s="79"/>
      <c r="B37" s="79"/>
      <c r="C37" s="114"/>
      <c r="F37" s="79"/>
      <c r="G37" s="79"/>
      <c r="H37" s="52">
        <f t="shared" ca="1" si="14"/>
        <v>0.41760537790697688</v>
      </c>
      <c r="I37" s="21">
        <f t="shared" ca="1" si="12"/>
        <v>2902.2874800000009</v>
      </c>
      <c r="J37" s="2" cm="1">
        <f t="array" aca="1" ref="J37" ca="1">_FV(U37,"Change (%)",TRUE)</f>
        <v>-4.2168000000000004E-2</v>
      </c>
      <c r="K37" s="21">
        <f t="shared" ca="1" si="15"/>
        <v>-514.82816237664008</v>
      </c>
      <c r="L37" s="49" cm="1">
        <f t="array" aca="1" ref="L37" ca="1">_FV(U37,"Price")</f>
        <v>156.05000000000001</v>
      </c>
      <c r="M37" s="8">
        <f>P37/$U$5</f>
        <v>4.0508665103836994E-2</v>
      </c>
      <c r="N37" s="3"/>
      <c r="O37" s="3" t="s">
        <v>70</v>
      </c>
      <c r="P37" s="21">
        <v>9306.69</v>
      </c>
      <c r="Q37" s="14">
        <f t="shared" ca="1" si="16"/>
        <v>3745.2000000000003</v>
      </c>
      <c r="R37" s="14">
        <v>110.08</v>
      </c>
      <c r="S37" s="3">
        <v>24</v>
      </c>
      <c r="T37" s="94" t="s">
        <v>15</v>
      </c>
      <c r="U37" s="17" t="e" vm="30">
        <v>#VALUE!</v>
      </c>
      <c r="V37" s="53">
        <v>16</v>
      </c>
      <c r="W37" s="79"/>
      <c r="X37" s="79"/>
    </row>
    <row r="38" spans="1:24" ht="15.6" x14ac:dyDescent="0.35">
      <c r="A38" s="79"/>
      <c r="B38" s="79"/>
      <c r="C38" s="79"/>
      <c r="D38" s="79"/>
      <c r="E38" s="79"/>
      <c r="F38" s="79"/>
      <c r="G38" s="79"/>
      <c r="H38" s="52">
        <f t="shared" ca="1" si="14"/>
        <v>0.18027522935779822</v>
      </c>
      <c r="I38" s="21">
        <f t="shared" ca="1" si="12"/>
        <v>48.469080000000304</v>
      </c>
      <c r="J38" s="2" cm="1">
        <f t="array" aca="1" ref="J38" ca="1">_FV(U38,"Change (%)",TRUE)</f>
        <v>-1.3939999999999999E-2</v>
      </c>
      <c r="K38" s="21">
        <f t="shared" ca="1" si="15"/>
        <v>-46.769941775199996</v>
      </c>
      <c r="L38" s="48" cm="1">
        <f t="array" aca="1" ref="L38" ca="1">_FV(U38,"Price")</f>
        <v>1029.2</v>
      </c>
      <c r="M38" s="8">
        <f t="shared" ref="M38:M44" si="17">P38/$U$5</f>
        <v>1.4392524324507367E-2</v>
      </c>
      <c r="N38" s="3"/>
      <c r="O38" s="3" t="s">
        <v>74</v>
      </c>
      <c r="P38" s="21">
        <v>3306.62</v>
      </c>
      <c r="Q38" s="14">
        <f t="shared" ca="1" si="16"/>
        <v>1029.2</v>
      </c>
      <c r="R38" s="14">
        <v>872</v>
      </c>
      <c r="S38" s="3">
        <v>1</v>
      </c>
      <c r="T38" s="94" t="s">
        <v>16</v>
      </c>
      <c r="U38" s="17" t="e" vm="31">
        <v>#VALUE!</v>
      </c>
      <c r="V38" s="53">
        <v>17</v>
      </c>
      <c r="W38" s="79"/>
      <c r="X38" s="79"/>
    </row>
    <row r="39" spans="1:24" ht="15.6" x14ac:dyDescent="0.35">
      <c r="A39" s="79"/>
      <c r="B39" s="79"/>
      <c r="C39" s="79"/>
      <c r="D39" s="79"/>
      <c r="E39" s="79"/>
      <c r="F39" s="79"/>
      <c r="G39" s="79"/>
      <c r="H39" s="52">
        <f t="shared" ca="1" si="14"/>
        <v>0.14243213090368159</v>
      </c>
      <c r="I39" s="21">
        <f t="shared" ca="1" si="12"/>
        <v>560.4572160000007</v>
      </c>
      <c r="J39" s="2" cm="1">
        <f t="array" aca="1" ref="J39" ca="1">_FV(U39,"Change (%)",TRUE)</f>
        <v>-6.3610000000000003E-3</v>
      </c>
      <c r="K39" s="21">
        <f t="shared" ca="1" si="15"/>
        <v>-45.865209470976005</v>
      </c>
      <c r="L39" s="48" cm="1">
        <f t="array" aca="1" ref="L39" ca="1">_FV(U39,"Price")</f>
        <v>92.16</v>
      </c>
      <c r="M39" s="8">
        <f t="shared" si="17"/>
        <v>2.8944703460339574E-2</v>
      </c>
      <c r="N39" s="3"/>
      <c r="O39" s="3" t="s">
        <v>81</v>
      </c>
      <c r="P39" s="21">
        <v>6649.92</v>
      </c>
      <c r="Q39" s="14">
        <f t="shared" ca="1" si="16"/>
        <v>2211.84</v>
      </c>
      <c r="R39" s="109">
        <v>80.67</v>
      </c>
      <c r="S39" s="3">
        <v>24</v>
      </c>
      <c r="T39" s="94" t="s">
        <v>17</v>
      </c>
      <c r="U39" s="17" t="e" vm="13">
        <v>#VALUE!</v>
      </c>
      <c r="V39" s="53">
        <v>18</v>
      </c>
      <c r="W39" s="79"/>
      <c r="X39" s="79"/>
    </row>
    <row r="40" spans="1:24" ht="15.6" x14ac:dyDescent="0.35">
      <c r="A40" s="79"/>
      <c r="B40" s="79"/>
      <c r="C40" s="79"/>
      <c r="D40" s="79"/>
      <c r="E40" s="79"/>
      <c r="F40" s="79"/>
      <c r="G40" s="79"/>
      <c r="H40" s="52">
        <f t="shared" ca="1" si="14"/>
        <v>0.23011621198384571</v>
      </c>
      <c r="I40" s="21">
        <f t="shared" ca="1" si="12"/>
        <v>310.09045000000015</v>
      </c>
      <c r="J40" s="4" cm="1">
        <f t="array" aca="1" ref="J40" ca="1">_FV(U40,"Change (%)",TRUE)</f>
        <v>-2.0733999999999999E-2</v>
      </c>
      <c r="K40" s="21">
        <f t="shared" ca="1" si="15"/>
        <v>-60.527531490299999</v>
      </c>
      <c r="L40" s="48" cm="1">
        <f t="array" aca="1" ref="L40" ca="1">_FV(U40,"Price")</f>
        <v>149.25</v>
      </c>
      <c r="M40" s="8">
        <f t="shared" si="17"/>
        <v>1.1356688957693477E-2</v>
      </c>
      <c r="N40" s="3"/>
      <c r="O40" s="3" t="s">
        <v>75</v>
      </c>
      <c r="P40" s="21">
        <v>2609.15</v>
      </c>
      <c r="Q40" s="14">
        <f t="shared" ca="1" si="16"/>
        <v>895.5</v>
      </c>
      <c r="R40" s="14">
        <v>121.33</v>
      </c>
      <c r="S40" s="3">
        <v>6</v>
      </c>
      <c r="T40" s="94" t="s">
        <v>24</v>
      </c>
      <c r="U40" s="23" t="e" vm="32">
        <v>#VALUE!</v>
      </c>
      <c r="V40" s="53">
        <v>19</v>
      </c>
      <c r="W40" s="79"/>
      <c r="X40" s="79"/>
    </row>
    <row r="41" spans="1:24" ht="15.6" x14ac:dyDescent="0.35">
      <c r="A41" s="79"/>
      <c r="B41" s="79"/>
      <c r="C41" s="79"/>
      <c r="D41" s="79"/>
      <c r="E41" s="79"/>
      <c r="F41" s="79"/>
      <c r="G41" s="79"/>
      <c r="H41" s="52">
        <f t="shared" ca="1" si="14"/>
        <v>-0.18763182695328276</v>
      </c>
      <c r="I41" s="21">
        <f t="shared" ca="1" si="12"/>
        <v>-2335.2748239999983</v>
      </c>
      <c r="J41" s="4" cm="1">
        <f t="array" aca="1" ref="J41" ca="1">_FV(U41,"Change (%)",TRUE)</f>
        <v>-5.8316E-2</v>
      </c>
      <c r="K41" s="21">
        <f t="shared" ca="1" si="15"/>
        <v>-412.95222632361606</v>
      </c>
      <c r="L41" s="48" cm="1">
        <f t="array" aca="1" ref="L41" ca="1">_FV(U41,"Price")</f>
        <v>181.02</v>
      </c>
      <c r="M41" s="8">
        <f t="shared" si="17"/>
        <v>4.0986889589122152E-2</v>
      </c>
      <c r="N41" s="3"/>
      <c r="O41" s="3" t="s">
        <v>71</v>
      </c>
      <c r="P41" s="21">
        <v>9416.56</v>
      </c>
      <c r="Q41" s="14">
        <f t="shared" ca="1" si="16"/>
        <v>2172.2400000000002</v>
      </c>
      <c r="R41" s="14">
        <v>222.83</v>
      </c>
      <c r="S41" s="3">
        <v>12</v>
      </c>
      <c r="T41" s="94" t="s">
        <v>25</v>
      </c>
      <c r="U41" s="23" t="e" vm="33">
        <v>#VALUE!</v>
      </c>
      <c r="V41" s="53">
        <v>20</v>
      </c>
      <c r="W41" s="79"/>
      <c r="X41" s="79"/>
    </row>
    <row r="42" spans="1:24" ht="15.6" x14ac:dyDescent="0.35">
      <c r="A42" s="79"/>
      <c r="B42" s="79"/>
      <c r="C42" s="79"/>
      <c r="D42" s="79"/>
      <c r="E42" s="79"/>
      <c r="F42" s="79"/>
      <c r="G42" s="79"/>
      <c r="H42" s="52">
        <f t="shared" ca="1" si="14"/>
        <v>-6.3956215793588789E-2</v>
      </c>
      <c r="I42" s="21">
        <f t="shared" ca="1" si="12"/>
        <v>-658.91543999999976</v>
      </c>
      <c r="J42" s="4" cm="1">
        <f t="array" aca="1" ref="J42" ca="1">_FV(U42,"Change (%)",TRUE)</f>
        <v>-5.2398E-2</v>
      </c>
      <c r="K42" s="21">
        <f t="shared" ca="1" si="15"/>
        <v>-408.99282793487998</v>
      </c>
      <c r="L42" s="48" cm="1">
        <f t="array" aca="1" ref="L42" ca="1">_FV(U42,"Price")</f>
        <v>239.44</v>
      </c>
      <c r="M42" s="8">
        <f t="shared" si="17"/>
        <v>3.6842567559274023E-2</v>
      </c>
      <c r="N42" s="3"/>
      <c r="O42" s="3" t="s">
        <v>71</v>
      </c>
      <c r="P42" s="21">
        <v>8464.42</v>
      </c>
      <c r="Q42" s="14">
        <f t="shared" ca="1" si="16"/>
        <v>2394.4</v>
      </c>
      <c r="R42" s="14">
        <v>255.8</v>
      </c>
      <c r="S42" s="3">
        <v>10</v>
      </c>
      <c r="T42" s="94" t="s">
        <v>46</v>
      </c>
      <c r="U42" s="23" t="e" vm="11">
        <v>#VALUE!</v>
      </c>
      <c r="V42" s="53">
        <v>21</v>
      </c>
      <c r="W42" s="79"/>
      <c r="X42" s="79"/>
    </row>
    <row r="43" spans="1:24" ht="15.6" x14ac:dyDescent="0.35">
      <c r="A43" s="79"/>
      <c r="B43" s="79"/>
      <c r="C43" s="79"/>
      <c r="D43" s="79"/>
      <c r="E43" s="79"/>
      <c r="F43" s="79"/>
      <c r="G43" s="79"/>
      <c r="H43" s="52">
        <f t="shared" ca="1" si="14"/>
        <v>-0.24911717495987154</v>
      </c>
      <c r="I43" s="21">
        <f t="shared" ca="1" si="12"/>
        <v>-1039.2575599999996</v>
      </c>
      <c r="J43" s="4" cm="1">
        <f t="array" aca="1" ref="J43" ca="1">_FV(U43,"Change (%)",TRUE)</f>
        <v>-8.5970999999999992E-2</v>
      </c>
      <c r="K43" s="21">
        <f t="shared" ca="1" si="15"/>
        <v>-262.20832092923996</v>
      </c>
      <c r="L43" s="48" cm="1">
        <f t="array" aca="1" ref="L43" ca="1">_FV(U43,"Price")</f>
        <v>23.39</v>
      </c>
      <c r="M43" s="8">
        <f t="shared" si="17"/>
        <v>1.7798899879109792E-2</v>
      </c>
      <c r="N43" s="3"/>
      <c r="O43" s="3" t="s">
        <v>73</v>
      </c>
      <c r="P43" s="21">
        <v>4089.22</v>
      </c>
      <c r="Q43" s="14">
        <f t="shared" ca="1" si="16"/>
        <v>935.6</v>
      </c>
      <c r="R43" s="14">
        <v>31.15</v>
      </c>
      <c r="S43" s="3">
        <v>40</v>
      </c>
      <c r="T43" s="94" t="s">
        <v>54</v>
      </c>
      <c r="U43" s="23" t="e" vm="34">
        <v>#VALUE!</v>
      </c>
      <c r="V43" s="53">
        <v>21</v>
      </c>
      <c r="W43" s="79"/>
      <c r="X43" s="79"/>
    </row>
    <row r="44" spans="1:24" ht="16.2" thickBot="1" x14ac:dyDescent="0.4">
      <c r="A44" s="79"/>
      <c r="B44" s="79"/>
      <c r="C44" s="79"/>
      <c r="D44" s="79"/>
      <c r="E44" s="79"/>
      <c r="F44" s="79"/>
      <c r="G44" s="79"/>
      <c r="H44" s="54">
        <f t="shared" ca="1" si="14"/>
        <v>2.3240148198046404E-2</v>
      </c>
      <c r="I44" s="87">
        <f t="shared" ca="1" si="12"/>
        <v>71.910960000000159</v>
      </c>
      <c r="J44" s="55" cm="1">
        <f t="array" aca="1" ref="J44" ca="1">_FV(U44,"Change (%)",TRUE)</f>
        <v>-3.3715000000000002E-2</v>
      </c>
      <c r="K44" s="87">
        <f t="shared" ca="1" si="15"/>
        <v>-267.11925726640004</v>
      </c>
      <c r="L44" s="56" cm="1">
        <f t="array" aca="1" ref="L44" ca="1">_FV(U44,"Price")</f>
        <v>30.38</v>
      </c>
      <c r="M44" s="57">
        <f t="shared" si="17"/>
        <v>3.4172353897784176E-2</v>
      </c>
      <c r="N44" s="58"/>
      <c r="O44" s="58" t="s">
        <v>82</v>
      </c>
      <c r="P44" s="87">
        <v>7850.95</v>
      </c>
      <c r="Q44" s="59">
        <f t="shared" ca="1" si="16"/>
        <v>2430.4</v>
      </c>
      <c r="R44" s="59">
        <v>29.69</v>
      </c>
      <c r="S44" s="58">
        <v>80</v>
      </c>
      <c r="T44" s="95" t="s">
        <v>51</v>
      </c>
      <c r="U44" s="64" t="e" vm="35">
        <v>#VALUE!</v>
      </c>
      <c r="V44" s="61">
        <v>22</v>
      </c>
      <c r="W44" s="79"/>
      <c r="X44" s="79"/>
    </row>
    <row r="45" spans="1:24" x14ac:dyDescent="0.25">
      <c r="A45" s="79"/>
      <c r="B45" s="79"/>
      <c r="C45" s="79"/>
      <c r="D45" s="79"/>
      <c r="E45" s="79"/>
      <c r="F45" s="79"/>
      <c r="G45" s="79"/>
      <c r="H45" s="128"/>
      <c r="I45" s="128"/>
      <c r="J45" s="128"/>
      <c r="K45" s="128"/>
      <c r="L45" s="128"/>
      <c r="M45" s="128"/>
      <c r="N45" s="128"/>
      <c r="O45" s="128"/>
      <c r="P45" s="128"/>
      <c r="Q45" s="128"/>
      <c r="R45" s="128"/>
      <c r="S45" s="128"/>
      <c r="T45" s="128"/>
      <c r="U45" s="128"/>
      <c r="V45" s="128"/>
      <c r="W45" s="79"/>
      <c r="X45" s="79"/>
    </row>
    <row r="46" spans="1:24" ht="15.6" customHeight="1" thickBot="1" x14ac:dyDescent="0.3">
      <c r="A46" s="79"/>
      <c r="B46" s="79"/>
      <c r="C46" s="79"/>
      <c r="D46" s="79"/>
      <c r="E46" s="79"/>
      <c r="F46" s="79"/>
      <c r="G46" s="79"/>
      <c r="H46" s="128"/>
      <c r="I46" s="128"/>
      <c r="J46" s="128"/>
      <c r="K46" s="128"/>
      <c r="L46" s="128"/>
      <c r="M46" s="128"/>
      <c r="N46" s="128"/>
      <c r="O46" s="128"/>
      <c r="P46" s="128"/>
      <c r="Q46" s="128"/>
      <c r="R46" s="128"/>
      <c r="S46" s="128"/>
      <c r="T46" s="128"/>
      <c r="U46" s="128"/>
      <c r="V46" s="128"/>
      <c r="W46" s="79"/>
      <c r="X46" s="79"/>
    </row>
    <row r="47" spans="1:24" ht="15.6" x14ac:dyDescent="0.35">
      <c r="A47" s="79"/>
      <c r="B47" s="79"/>
      <c r="C47" s="79"/>
      <c r="D47" s="79"/>
      <c r="E47" s="79"/>
      <c r="F47" s="79"/>
      <c r="G47" s="79"/>
      <c r="H47" s="125" t="s">
        <v>30</v>
      </c>
      <c r="I47" s="126"/>
      <c r="J47" s="126"/>
      <c r="K47" s="126"/>
      <c r="L47" s="126"/>
      <c r="M47" s="126"/>
      <c r="N47" s="126"/>
      <c r="O47" s="126"/>
      <c r="P47" s="126"/>
      <c r="Q47" s="126"/>
      <c r="R47" s="126"/>
      <c r="S47" s="126"/>
      <c r="T47" s="126"/>
      <c r="U47" s="126"/>
      <c r="V47" s="127"/>
      <c r="W47" s="79"/>
      <c r="X47" s="79"/>
    </row>
    <row r="48" spans="1:24" ht="15.6" x14ac:dyDescent="0.35">
      <c r="A48" s="79"/>
      <c r="B48" s="79"/>
      <c r="C48" s="79"/>
      <c r="D48" s="79"/>
      <c r="E48" s="79"/>
      <c r="F48" s="79"/>
      <c r="G48" s="79"/>
      <c r="H48" s="77" t="s">
        <v>65</v>
      </c>
      <c r="I48" s="1" t="s">
        <v>66</v>
      </c>
      <c r="J48" s="1" t="s">
        <v>64</v>
      </c>
      <c r="K48" s="1" t="s">
        <v>7</v>
      </c>
      <c r="L48" s="1" t="s">
        <v>6</v>
      </c>
      <c r="M48" s="1" t="s">
        <v>4</v>
      </c>
      <c r="N48" s="1" t="s">
        <v>49</v>
      </c>
      <c r="O48" s="1"/>
      <c r="P48" s="1" t="s">
        <v>63</v>
      </c>
      <c r="Q48" s="1" t="s">
        <v>3</v>
      </c>
      <c r="R48" s="1" t="s">
        <v>2</v>
      </c>
      <c r="S48" s="1" t="s">
        <v>1</v>
      </c>
      <c r="T48" s="1" t="s">
        <v>0</v>
      </c>
      <c r="U48" s="1"/>
      <c r="V48" s="53" t="s">
        <v>5</v>
      </c>
      <c r="W48" s="79"/>
      <c r="X48" s="79"/>
    </row>
    <row r="49" spans="1:24" ht="15.6" x14ac:dyDescent="0.35">
      <c r="A49" s="79"/>
      <c r="B49" s="79"/>
      <c r="C49" s="79"/>
      <c r="D49" s="79"/>
      <c r="E49" s="79"/>
      <c r="F49" s="79"/>
      <c r="G49" s="79"/>
      <c r="H49" s="52">
        <f ca="1">(L49-R49)/R49</f>
        <v>0.16444106684037202</v>
      </c>
      <c r="I49" s="88">
        <f ca="1">(L49*S49*$M$2-P49)</f>
        <v>404.40813799999978</v>
      </c>
      <c r="J49" s="4" cm="1">
        <f t="array" aca="1" ref="J49" ca="1">_FV(U49,"Change (%)",TRUE)</f>
        <v>-1.8216E-2</v>
      </c>
      <c r="K49" s="21">
        <f ca="1">J49*Q49*$M$2</f>
        <v>-114.64473016180798</v>
      </c>
      <c r="L49" s="5" cm="1">
        <f t="array" aca="1" ref="L49" ca="1">_FV(U49,"Price")</f>
        <v>321.77</v>
      </c>
      <c r="M49" s="9">
        <f>P49/$U$5</f>
        <v>2.5633650707482351E-2</v>
      </c>
      <c r="N49" s="6"/>
      <c r="O49" s="6" t="s">
        <v>76</v>
      </c>
      <c r="P49" s="88">
        <v>5889.22</v>
      </c>
      <c r="Q49" s="15">
        <f ca="1">L49*S49</f>
        <v>1930.62</v>
      </c>
      <c r="R49" s="15">
        <v>276.33</v>
      </c>
      <c r="S49" s="6">
        <v>6</v>
      </c>
      <c r="T49" s="96" t="s">
        <v>26</v>
      </c>
      <c r="U49" s="23" t="e" vm="36">
        <v>#VALUE!</v>
      </c>
      <c r="V49" s="53">
        <v>23</v>
      </c>
      <c r="W49" s="79"/>
      <c r="X49" s="79"/>
    </row>
    <row r="50" spans="1:24" ht="15.6" x14ac:dyDescent="0.35">
      <c r="A50" s="79"/>
      <c r="B50" s="79"/>
      <c r="C50" s="79"/>
      <c r="D50" s="79"/>
      <c r="E50" s="79"/>
      <c r="F50" s="79"/>
      <c r="G50" s="79"/>
      <c r="H50" s="52">
        <f t="shared" ref="H50:H54" ca="1" si="18">(L50-R50)/R50</f>
        <v>7.7743902439024501E-2</v>
      </c>
      <c r="I50" s="88">
        <f t="shared" ref="I50:I54" ca="1" si="19">(L50*S50*$M$2-P50)</f>
        <v>-4.1553499999999985</v>
      </c>
      <c r="J50" s="4" cm="1">
        <f t="array" aca="1" ref="J50" ca="1">_FV(U50,"Change (%)",TRUE)</f>
        <v>-2.8178999999999999E-2</v>
      </c>
      <c r="K50" s="21">
        <f t="shared" ref="K50:K54" ca="1" si="20">J50*Q50*$M$2</f>
        <v>-32.472765262350002</v>
      </c>
      <c r="L50" s="5" cm="1">
        <f t="array" aca="1" ref="L50" ca="1">_FV(U50,"Price")</f>
        <v>14.14</v>
      </c>
      <c r="M50" s="9">
        <f t="shared" ref="M50:M54" si="21">P50/$U$5</f>
        <v>5.0339579864098405E-3</v>
      </c>
      <c r="N50" s="6"/>
      <c r="O50" s="6" t="s">
        <v>71</v>
      </c>
      <c r="P50" s="88">
        <v>1156.53</v>
      </c>
      <c r="Q50" s="15">
        <f t="shared" ref="Q50:Q54" ca="1" si="22">L50*S50</f>
        <v>353.5</v>
      </c>
      <c r="R50" s="15">
        <v>13.12</v>
      </c>
      <c r="S50" s="6">
        <v>25</v>
      </c>
      <c r="T50" s="96" t="s">
        <v>27</v>
      </c>
      <c r="U50" s="23" t="e" vm="37">
        <v>#VALUE!</v>
      </c>
      <c r="V50" s="53">
        <v>24</v>
      </c>
      <c r="W50" s="79"/>
      <c r="X50" s="79"/>
    </row>
    <row r="51" spans="1:24" ht="15.6" x14ac:dyDescent="0.35">
      <c r="A51" s="79"/>
      <c r="B51" s="79"/>
      <c r="C51" s="79"/>
      <c r="D51" s="79"/>
      <c r="E51" s="79"/>
      <c r="F51" s="79"/>
      <c r="G51" s="79"/>
      <c r="H51" s="52">
        <f t="shared" ca="1" si="18"/>
        <v>-0.49100418410041841</v>
      </c>
      <c r="I51" s="88">
        <f t="shared" ca="1" si="19"/>
        <v>-957.77633000000014</v>
      </c>
      <c r="J51" s="4" cm="1">
        <f t="array" aca="1" ref="J51" ca="1">_FV(U51,"Change (%)",TRUE)</f>
        <v>3.2682999999999997E-2</v>
      </c>
      <c r="K51" s="21">
        <f t="shared" ca="1" si="20"/>
        <v>25.921987736609996</v>
      </c>
      <c r="L51" s="5" cm="1">
        <f t="array" aca="1" ref="L51" ca="1">_FV(U51,"Price")</f>
        <v>24.33</v>
      </c>
      <c r="M51" s="9">
        <f t="shared" si="21"/>
        <v>7.6210797627254412E-3</v>
      </c>
      <c r="N51" s="6"/>
      <c r="O51" s="6" t="s">
        <v>77</v>
      </c>
      <c r="P51" s="88">
        <v>1750.91</v>
      </c>
      <c r="Q51" s="15">
        <f t="shared" ca="1" si="22"/>
        <v>243.29999999999998</v>
      </c>
      <c r="R51" s="15">
        <v>47.8</v>
      </c>
      <c r="S51" s="6">
        <v>10</v>
      </c>
      <c r="T51" s="96" t="s">
        <v>28</v>
      </c>
      <c r="U51" s="23" t="e" vm="38">
        <v>#VALUE!</v>
      </c>
      <c r="V51" s="53">
        <v>25</v>
      </c>
      <c r="W51" s="79"/>
      <c r="X51" s="79"/>
    </row>
    <row r="52" spans="1:24" ht="15.6" x14ac:dyDescent="0.35">
      <c r="A52" s="79"/>
      <c r="B52" s="79"/>
      <c r="C52" s="79"/>
      <c r="D52" s="79"/>
      <c r="E52" s="79"/>
      <c r="F52" s="79"/>
      <c r="G52" s="79"/>
      <c r="H52" s="52">
        <f t="shared" ca="1" si="18"/>
        <v>-9.6077006901561915E-2</v>
      </c>
      <c r="I52" s="88">
        <f t="shared" ca="1" si="19"/>
        <v>-295.97082749999981</v>
      </c>
      <c r="J52" s="4" cm="1">
        <f t="array" aca="1" ref="J52" ca="1">_FV(U52,"Change (%)",TRUE)</f>
        <v>1.1174E-2</v>
      </c>
      <c r="K52" s="21">
        <f t="shared" ca="1" si="20"/>
        <v>13.596960913515002</v>
      </c>
      <c r="L52" s="5" cm="1">
        <f t="array" aca="1" ref="L52" ca="1">_FV(U52,"Price")</f>
        <v>24.885000000000002</v>
      </c>
      <c r="M52" s="9">
        <f t="shared" si="21"/>
        <v>6.584716333705715E-3</v>
      </c>
      <c r="N52" s="6"/>
      <c r="O52" s="6" t="s">
        <v>77</v>
      </c>
      <c r="P52" s="88">
        <v>1512.81</v>
      </c>
      <c r="Q52" s="15">
        <f t="shared" ca="1" si="22"/>
        <v>373.27500000000003</v>
      </c>
      <c r="R52" s="15">
        <v>27.53</v>
      </c>
      <c r="S52" s="6">
        <v>15</v>
      </c>
      <c r="T52" s="96" t="s">
        <v>29</v>
      </c>
      <c r="U52" s="23" t="e" vm="39">
        <v>#VALUE!</v>
      </c>
      <c r="V52" s="53">
        <v>26</v>
      </c>
      <c r="W52" s="79"/>
      <c r="X52" s="79"/>
    </row>
    <row r="53" spans="1:24" ht="16.2" thickBot="1" x14ac:dyDescent="0.4">
      <c r="A53" s="79"/>
      <c r="B53" s="79"/>
      <c r="C53" s="79"/>
      <c r="D53" s="79"/>
      <c r="E53" s="79"/>
      <c r="F53" s="79"/>
      <c r="G53" s="79"/>
      <c r="H53" s="52">
        <f t="shared" ref="H53" ca="1" si="23">(L53-R53)/R53</f>
        <v>0.19960079840319361</v>
      </c>
      <c r="I53" s="88">
        <f t="shared" ref="I53" ca="1" si="24">(L53*S53*$M$2-P53)</f>
        <v>936.46969999999965</v>
      </c>
      <c r="J53" s="4" cm="1">
        <f t="array" aca="1" ref="J53" ca="1">_FV(U53,"Change (%)",TRUE)</f>
        <v>-8.6625999999999995E-2</v>
      </c>
      <c r="K53" s="21">
        <f t="shared" ref="K53" ca="1" si="25">J53*Q53*$M$2</f>
        <v>-509.15295161220001</v>
      </c>
      <c r="L53" s="5" cm="1">
        <f t="array" aca="1" ref="L53" ca="1">_FV(U53,"Price")</f>
        <v>6.01</v>
      </c>
      <c r="M53" s="9">
        <f t="shared" si="21"/>
        <v>2.150695686699805E-2</v>
      </c>
      <c r="N53" s="6"/>
      <c r="O53" s="6" t="s">
        <v>78</v>
      </c>
      <c r="P53" s="88">
        <v>4941.13</v>
      </c>
      <c r="Q53" s="15">
        <f t="shared" ref="Q53" ca="1" si="26">L53*S53</f>
        <v>1803</v>
      </c>
      <c r="R53" s="108">
        <v>5.01</v>
      </c>
      <c r="S53" s="6">
        <v>300</v>
      </c>
      <c r="T53" s="96" t="s">
        <v>55</v>
      </c>
      <c r="U53" s="64" t="e" vm="40">
        <v>#VALUE!</v>
      </c>
      <c r="V53" s="106">
        <v>27</v>
      </c>
      <c r="W53" s="79"/>
      <c r="X53" s="79"/>
    </row>
    <row r="54" spans="1:24" ht="16.2" thickBot="1" x14ac:dyDescent="0.4">
      <c r="A54" s="79"/>
      <c r="B54" s="79"/>
      <c r="C54" s="79"/>
      <c r="D54" s="79"/>
      <c r="E54" s="79"/>
      <c r="F54" s="79"/>
      <c r="G54" s="79"/>
      <c r="H54" s="54">
        <f t="shared" ca="1" si="18"/>
        <v>3.4341782502044144E-2</v>
      </c>
      <c r="I54" s="89">
        <f t="shared" ca="1" si="19"/>
        <v>127.01350000000002</v>
      </c>
      <c r="J54" s="55" cm="1">
        <f t="array" aca="1" ref="J54" ca="1">_FV(U54,"Change (%)",TRUE)</f>
        <v>-0.12517300000000001</v>
      </c>
      <c r="K54" s="87">
        <f t="shared" ca="1" si="20"/>
        <v>-516.18510031550011</v>
      </c>
      <c r="L54" s="65" cm="1">
        <f t="array" aca="1" ref="L54" ca="1">_FV(U54,"Price")</f>
        <v>12.65</v>
      </c>
      <c r="M54" s="66">
        <f t="shared" si="21"/>
        <v>1.7396454844892391E-2</v>
      </c>
      <c r="N54" s="67"/>
      <c r="O54" s="67" t="s">
        <v>78</v>
      </c>
      <c r="P54" s="89">
        <v>3996.76</v>
      </c>
      <c r="Q54" s="68">
        <f t="shared" ca="1" si="22"/>
        <v>1265</v>
      </c>
      <c r="R54" s="107">
        <v>12.23</v>
      </c>
      <c r="S54" s="67">
        <v>100</v>
      </c>
      <c r="T54" s="97" t="s">
        <v>67</v>
      </c>
      <c r="U54" s="64" t="e" vm="41">
        <v>#VALUE!</v>
      </c>
      <c r="V54" s="61">
        <v>28</v>
      </c>
      <c r="W54" s="79"/>
      <c r="X54" s="79"/>
    </row>
    <row r="55" spans="1:24" ht="15.6" customHeight="1" x14ac:dyDescent="0.25">
      <c r="A55" s="79"/>
      <c r="B55" s="79"/>
      <c r="C55" s="79"/>
      <c r="D55" s="79"/>
      <c r="E55" s="79"/>
      <c r="F55" s="79"/>
      <c r="G55" s="79"/>
      <c r="H55" s="128"/>
      <c r="I55" s="128"/>
      <c r="J55" s="128"/>
      <c r="K55" s="128"/>
      <c r="L55" s="128"/>
      <c r="M55" s="128"/>
      <c r="N55" s="128"/>
      <c r="O55" s="128"/>
      <c r="P55" s="128"/>
      <c r="Q55" s="128"/>
      <c r="R55" s="128"/>
      <c r="S55" s="128"/>
      <c r="T55" s="128"/>
      <c r="U55" s="128"/>
      <c r="V55" s="128"/>
      <c r="W55" s="79"/>
      <c r="X55" s="79"/>
    </row>
    <row r="56" spans="1:24" ht="15.6" customHeight="1" thickBot="1" x14ac:dyDescent="0.3">
      <c r="A56" s="79"/>
      <c r="B56" s="79"/>
      <c r="C56" s="79"/>
      <c r="D56" s="79"/>
      <c r="E56" s="79"/>
      <c r="F56" s="79"/>
      <c r="G56" s="79"/>
      <c r="H56" s="128"/>
      <c r="I56" s="128"/>
      <c r="J56" s="128"/>
      <c r="K56" s="128"/>
      <c r="L56" s="128"/>
      <c r="M56" s="128"/>
      <c r="N56" s="128"/>
      <c r="O56" s="128"/>
      <c r="P56" s="128"/>
      <c r="Q56" s="128"/>
      <c r="R56" s="128"/>
      <c r="S56" s="128"/>
      <c r="T56" s="128"/>
      <c r="U56" s="128"/>
      <c r="V56" s="128"/>
      <c r="W56" s="79"/>
      <c r="X56" s="79"/>
    </row>
    <row r="57" spans="1:24" ht="15.6" x14ac:dyDescent="0.35">
      <c r="A57" s="79"/>
      <c r="B57" s="79"/>
      <c r="C57" s="79"/>
      <c r="D57" s="79"/>
      <c r="E57" s="79"/>
      <c r="F57" s="79"/>
      <c r="G57" s="79"/>
      <c r="H57" s="122" t="s">
        <v>31</v>
      </c>
      <c r="I57" s="123"/>
      <c r="J57" s="123"/>
      <c r="K57" s="123"/>
      <c r="L57" s="123"/>
      <c r="M57" s="123"/>
      <c r="N57" s="123"/>
      <c r="O57" s="123"/>
      <c r="P57" s="123"/>
      <c r="Q57" s="123"/>
      <c r="R57" s="123"/>
      <c r="S57" s="123"/>
      <c r="T57" s="123"/>
      <c r="U57" s="123"/>
      <c r="V57" s="124"/>
      <c r="W57" s="79"/>
      <c r="X57" s="79"/>
    </row>
    <row r="58" spans="1:24" ht="15.6" x14ac:dyDescent="0.35">
      <c r="A58" s="79"/>
      <c r="B58" s="79"/>
      <c r="C58" s="79"/>
      <c r="D58" s="79"/>
      <c r="E58" s="79"/>
      <c r="F58" s="79"/>
      <c r="G58" s="79"/>
      <c r="H58" s="77" t="s">
        <v>65</v>
      </c>
      <c r="I58" s="1" t="s">
        <v>66</v>
      </c>
      <c r="J58" s="1" t="s">
        <v>64</v>
      </c>
      <c r="K58" s="1" t="s">
        <v>7</v>
      </c>
      <c r="L58" s="1" t="s">
        <v>6</v>
      </c>
      <c r="M58" s="1" t="s">
        <v>4</v>
      </c>
      <c r="N58" s="1" t="s">
        <v>49</v>
      </c>
      <c r="O58" s="1"/>
      <c r="P58" s="1" t="s">
        <v>63</v>
      </c>
      <c r="Q58" s="1" t="s">
        <v>3</v>
      </c>
      <c r="R58" s="1" t="s">
        <v>2</v>
      </c>
      <c r="S58" s="1" t="s">
        <v>1</v>
      </c>
      <c r="T58" s="1" t="s">
        <v>0</v>
      </c>
      <c r="U58" s="1"/>
      <c r="V58" s="53" t="s">
        <v>5</v>
      </c>
      <c r="W58" s="79"/>
      <c r="X58" s="79"/>
    </row>
    <row r="59" spans="1:24" ht="15.6" x14ac:dyDescent="0.35">
      <c r="A59" s="79"/>
      <c r="B59" s="79"/>
      <c r="C59" s="79"/>
      <c r="D59" s="79"/>
      <c r="E59" s="79"/>
      <c r="F59" s="79"/>
      <c r="G59" s="79"/>
      <c r="H59" s="52">
        <f ca="1">(L59-R59)/R59</f>
        <v>-0.13243618201997784</v>
      </c>
      <c r="I59" s="90">
        <f ca="1">(L59*S59*$M$2-P59)</f>
        <v>-507.5206005</v>
      </c>
      <c r="J59" s="10" cm="1">
        <f t="array" aca="1" ref="J59" ca="1">_FV(U59,"Change (%)",TRUE)</f>
        <v>-8.7390000000000002E-3</v>
      </c>
      <c r="K59" s="21">
        <f ca="1">J59*Q59*$M$2</f>
        <v>-13.361139242230502</v>
      </c>
      <c r="L59" s="11" cm="1">
        <f t="array" aca="1" ref="L59" ca="1">_FV(U59,"Price")</f>
        <v>469.005</v>
      </c>
      <c r="M59" s="12">
        <f>P59/$U$5</f>
        <v>8.8638453496792929E-3</v>
      </c>
      <c r="N59" s="13"/>
      <c r="O59" s="13" t="s">
        <v>79</v>
      </c>
      <c r="P59" s="90">
        <v>2036.43</v>
      </c>
      <c r="Q59" s="16">
        <f ca="1">L59*S59</f>
        <v>469.005</v>
      </c>
      <c r="R59" s="16">
        <v>540.6</v>
      </c>
      <c r="S59" s="13">
        <v>1</v>
      </c>
      <c r="T59" s="98" t="s">
        <v>32</v>
      </c>
      <c r="U59" s="23" t="e" vm="42">
        <v>#VALUE!</v>
      </c>
      <c r="V59" s="51">
        <v>29</v>
      </c>
      <c r="W59" s="79"/>
      <c r="X59" s="79"/>
    </row>
    <row r="60" spans="1:24" ht="15.6" x14ac:dyDescent="0.35">
      <c r="A60" s="79"/>
      <c r="B60" s="79"/>
      <c r="C60" s="79"/>
      <c r="D60" s="79"/>
      <c r="E60" s="79"/>
      <c r="F60" s="79"/>
      <c r="G60" s="79"/>
      <c r="H60" s="52">
        <f t="shared" ref="H60:H61" ca="1" si="27">(L60-R60)/R60</f>
        <v>-8.743545611015488E-2</v>
      </c>
      <c r="I60" s="90">
        <f t="shared" ref="I60:I61" ca="1" si="28">(L60*S60*$M$2-P60)</f>
        <v>-1278.4830599999996</v>
      </c>
      <c r="J60" s="10" cm="1">
        <f t="array" aca="1" ref="J60" ca="1">_FV(U60,"Change (%)",TRUE)</f>
        <v>-2.258E-3</v>
      </c>
      <c r="K60" s="21">
        <f ca="1">J60*Q60*$M$2</f>
        <v>-11.708174690520002</v>
      </c>
      <c r="L60" s="11" cm="1">
        <f t="array" aca="1" ref="L60" ca="1">_FV(U60,"Price")</f>
        <v>26.51</v>
      </c>
      <c r="M60" s="12">
        <f t="shared" ref="M60:M61" si="29">P60/$U$5</f>
        <v>2.813406790796396E-2</v>
      </c>
      <c r="N60" s="13"/>
      <c r="O60" s="13" t="s">
        <v>80</v>
      </c>
      <c r="P60" s="90">
        <v>6463.68</v>
      </c>
      <c r="Q60" s="16">
        <f t="shared" ref="Q60:Q61" ca="1" si="30">L60*S60</f>
        <v>1590.6000000000001</v>
      </c>
      <c r="R60" s="16">
        <v>29.05</v>
      </c>
      <c r="S60" s="13">
        <v>60</v>
      </c>
      <c r="T60" s="98" t="s">
        <v>33</v>
      </c>
      <c r="U60" s="23" t="e" vm="43">
        <v>#VALUE!</v>
      </c>
      <c r="V60" s="53">
        <v>30</v>
      </c>
      <c r="W60" s="79"/>
      <c r="X60" s="79"/>
    </row>
    <row r="61" spans="1:24" ht="16.2" thickBot="1" x14ac:dyDescent="0.4">
      <c r="A61" s="79"/>
      <c r="B61" s="79"/>
      <c r="C61" s="79"/>
      <c r="D61" s="79"/>
      <c r="E61" s="79"/>
      <c r="F61" s="79"/>
      <c r="G61" s="79"/>
      <c r="H61" s="54">
        <f t="shared" ca="1" si="27"/>
        <v>5.9790996075664724E-2</v>
      </c>
      <c r="I61" s="91">
        <f t="shared" ca="1" si="28"/>
        <v>-152.93606999999997</v>
      </c>
      <c r="J61" s="69" cm="1">
        <f t="array" aca="1" ref="J61" ca="1">_FV(U61,"Change (%)",TRUE)</f>
        <v>-1.7697000000000001E-2</v>
      </c>
      <c r="K61" s="87">
        <f t="shared" ref="K61" ca="1" si="31">J61*Q61*$M$2</f>
        <v>-27.731799459210002</v>
      </c>
      <c r="L61" s="70" cm="1">
        <f t="array" aca="1" ref="L61" ca="1">_FV(U61,"Price")</f>
        <v>240.35</v>
      </c>
      <c r="M61" s="71">
        <f t="shared" si="29"/>
        <v>7.4864091012644147E-3</v>
      </c>
      <c r="N61" s="72"/>
      <c r="O61" s="72" t="s">
        <v>59</v>
      </c>
      <c r="P61" s="91">
        <v>1719.97</v>
      </c>
      <c r="Q61" s="73">
        <f t="shared" ca="1" si="30"/>
        <v>480.7</v>
      </c>
      <c r="R61" s="73">
        <v>226.79</v>
      </c>
      <c r="S61" s="72">
        <v>2</v>
      </c>
      <c r="T61" s="99" t="s">
        <v>34</v>
      </c>
      <c r="U61" s="64" t="e" vm="44">
        <v>#VALUE!</v>
      </c>
      <c r="V61" s="61">
        <v>31</v>
      </c>
      <c r="W61" s="79"/>
      <c r="X61" s="79"/>
    </row>
    <row r="62" spans="1:24" x14ac:dyDescent="0.25">
      <c r="A62" s="79"/>
      <c r="B62" s="79"/>
      <c r="C62" s="79"/>
      <c r="D62" s="79"/>
      <c r="E62" s="79"/>
      <c r="F62" s="79"/>
      <c r="G62" s="79"/>
      <c r="H62" s="78"/>
      <c r="I62" s="79"/>
      <c r="J62" s="79"/>
      <c r="K62" s="79"/>
      <c r="L62" s="79"/>
      <c r="M62" s="79"/>
      <c r="N62" s="79"/>
      <c r="O62" s="79"/>
      <c r="P62" s="79"/>
      <c r="Q62" s="79"/>
      <c r="R62" s="79"/>
      <c r="S62" s="79"/>
      <c r="T62" s="79"/>
      <c r="U62" s="79"/>
      <c r="V62" s="79"/>
      <c r="W62" s="79"/>
      <c r="X62" s="79"/>
    </row>
    <row r="64" spans="1:24" x14ac:dyDescent="0.25">
      <c r="J64" s="92"/>
    </row>
    <row r="66" spans="16:16" x14ac:dyDescent="0.25">
      <c r="P66" s="93"/>
    </row>
  </sheetData>
  <mergeCells count="23">
    <mergeCell ref="L1:M1"/>
    <mergeCell ref="U6:V6"/>
    <mergeCell ref="H20:V21"/>
    <mergeCell ref="H13:V14"/>
    <mergeCell ref="H15:V15"/>
    <mergeCell ref="H8:V8"/>
    <mergeCell ref="T1:V1"/>
    <mergeCell ref="U2:V2"/>
    <mergeCell ref="U5:V5"/>
    <mergeCell ref="U4:V4"/>
    <mergeCell ref="Q1:R1"/>
    <mergeCell ref="L4:M4"/>
    <mergeCell ref="L5:M6"/>
    <mergeCell ref="S5:S6"/>
    <mergeCell ref="J5:K6"/>
    <mergeCell ref="J4:K4"/>
    <mergeCell ref="H57:V57"/>
    <mergeCell ref="H47:V47"/>
    <mergeCell ref="H33:V33"/>
    <mergeCell ref="H22:V22"/>
    <mergeCell ref="H31:V32"/>
    <mergeCell ref="H45:V46"/>
    <mergeCell ref="H55:V56"/>
  </mergeCells>
  <conditionalFormatting sqref="B4:B16">
    <cfRule type="cellIs" dxfId="5" priority="1" operator="equal">
      <formula>"BUY"</formula>
    </cfRule>
    <cfRule type="cellIs" dxfId="4" priority="2" operator="equal">
      <formula>"HOLD"</formula>
    </cfRule>
  </conditionalFormatting>
  <conditionalFormatting sqref="H10:K12 H17:K19 H24:K30 H35:K44 H49:K54 H59:K61">
    <cfRule type="cellIs" dxfId="3" priority="13" operator="lessThan">
      <formula>0</formula>
    </cfRule>
    <cfRule type="cellIs" dxfId="2" priority="14" operator="greaterThan">
      <formula>0</formula>
    </cfRule>
  </conditionalFormatting>
  <conditionalFormatting sqref="S5:T5 T6 S7:T7">
    <cfRule type="cellIs" dxfId="1" priority="3" operator="lessThan">
      <formula>0</formula>
    </cfRule>
    <cfRule type="cellIs" dxfId="0" priority="4" operator="greaterThan">
      <formula>0</formula>
    </cfRule>
  </conditionalFormatting>
  <dataValidations count="1">
    <dataValidation type="list" allowBlank="1" showInputMessage="1" showErrorMessage="1" sqref="O10:O12 O17:O19 O24:O30 O35:O44 O49:O54 O59:O61" xr:uid="{391B6171-5935-44BC-B1CE-0C32ACF55622}">
      <formula1>"נשק,שבבים,פיננסים,קריפטו,מדדים,תרופות,בריאות,טכנולוגיה,טכנולוגיות קוונטיות,דיבידנדים,קמעונאות,שירותי תקשורת,חומרה,תשתיות מידע,תחבורה"</formula1>
    </dataValidation>
  </dataValidation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Lior Hadad</dc:creator>
  <cp:lastModifiedBy>Lior Tsafrir</cp:lastModifiedBy>
  <dcterms:created xsi:type="dcterms:W3CDTF">2025-08-01T19:22:09Z</dcterms:created>
  <dcterms:modified xsi:type="dcterms:W3CDTF">2025-11-06T22:49:41Z</dcterms:modified>
</cp:coreProperties>
</file>